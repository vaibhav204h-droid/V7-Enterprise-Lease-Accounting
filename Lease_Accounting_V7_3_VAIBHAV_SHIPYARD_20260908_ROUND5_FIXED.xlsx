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Control" sheetId="1" state="visible" r:id="rId3"/>
    <sheet name="01_Lease_Master" sheetId="2" state="visible" r:id="rId4"/>
    <sheet name="20_Escalation_Schedule" sheetId="3" state="visible" r:id="rId5"/>
    <sheet name="02_Payment_Schedule" sheetId="4" state="visible" r:id="rId6"/>
    <sheet name="03_Initial_Recognition" sheetId="5" state="visible" r:id="rId7"/>
    <sheet name="04_Lease_Liability" sheetId="6" state="visible" r:id="rId8"/>
    <sheet name="05_ROU_Depreciation" sheetId="7" state="visible" r:id="rId9"/>
    <sheet name="06_IndAS109_Deposit" sheetId="8" state="visible" r:id="rId10"/>
    <sheet name="21_Future_Liability" sheetId="9" state="visible" r:id="rId11"/>
    <sheet name="07_Current_NonCurrent" sheetId="10" state="visible" r:id="rId12"/>
    <sheet name="08_Journal_Entries" sheetId="11" state="visible" r:id="rId13"/>
    <sheet name="09_Disclosures" sheetId="12" state="visible" r:id="rId14"/>
    <sheet name="10_Maturity_Analysis" sheetId="13" state="visible" r:id="rId15"/>
    <sheet name="11_Lease_Term_Assessment" sheetId="14" state="visible" r:id="rId16"/>
    <sheet name="12_Restoration_Provision" sheetId="15" state="visible" r:id="rId17"/>
    <sheet name="13_Modifications_Remeasurement" sheetId="16" state="visible" r:id="rId18"/>
    <sheet name="22_Independent_Validation" sheetId="17" state="visible" r:id="rId19"/>
    <sheet name="14_Reconciliation" sheetId="18" state="visible" r:id="rId20"/>
    <sheet name="15_Error_Log" sheetId="19" state="visible" r:id="rId21"/>
    <sheet name="16_Audit_Trail" sheetId="20" state="visible" r:id="rId22"/>
    <sheet name="17_Formula_Map" sheetId="21" state="visible" r:id="rId23"/>
    <sheet name="18_Legal_References" sheetId="22" state="visible" r:id="rId24"/>
    <sheet name="19_Measurement_Working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<sst xmlns="http://schemas.openxmlformats.org/spreadsheetml/2006/main" count="6269" uniqueCount="400">
  <si>
    <t xml:space="preserve">V7.2 Enterprise Lease Accounting — Control Centre</t>
  </si>
  <si>
    <t xml:space="preserve">Company</t>
  </si>
  <si>
    <t xml:space="preserve">Vaibhav @1</t>
  </si>
  <si>
    <t xml:space="preserve">Reporting Date</t>
  </si>
  <si>
    <t xml:space="preserve">Engine Version</t>
  </si>
  <si>
    <t xml:space="preserve">V7.2</t>
  </si>
  <si>
    <t xml:space="preserve">Metric</t>
  </si>
  <si>
    <t xml:space="preserve">Value</t>
  </si>
  <si>
    <t xml:space="preserve">Control / Formula</t>
  </si>
  <si>
    <t xml:space="preserve">Lease Count</t>
  </si>
  <si>
    <t xml:space="preserve">COUNTA of non-empty lease IDs</t>
  </si>
  <si>
    <t xml:space="preserve">Initial Lease Liability</t>
  </si>
  <si>
    <t xml:space="preserve">Formula-linked to initial recognition</t>
  </si>
  <si>
    <t xml:space="preserve">Initial ROU</t>
  </si>
  <si>
    <t xml:space="preserve">Reporting Liability</t>
  </si>
  <si>
    <t xml:space="preserve">Formula-linked to liability roll-forward</t>
  </si>
  <si>
    <t xml:space="preserve">Reporting ROU</t>
  </si>
  <si>
    <t xml:space="preserve">Formula-linked to ROU roll-forward</t>
  </si>
  <si>
    <t xml:space="preserve">Security Deposit Initial FV</t>
  </si>
  <si>
    <t xml:space="preserve">Formula-linked to EIR schedule</t>
  </si>
  <si>
    <t xml:space="preserve">Deposit ECL</t>
  </si>
  <si>
    <t xml:space="preserve">Formula-linked to ECL schedule</t>
  </si>
  <si>
    <t xml:space="preserve">Restoration Provision (Closing)</t>
  </si>
  <si>
    <t xml:space="preserve">Formula-linked to restoration schedule</t>
  </si>
  <si>
    <t xml:space="preserve">Open Modifications Processed</t>
  </si>
  <si>
    <t xml:space="preserve">COUNTA of modification rows</t>
  </si>
  <si>
    <t xml:space="preserve">JE Status — Any Run Out Of Balance?</t>
  </si>
  <si>
    <t xml:space="preserve">Workbook debit-credit control</t>
  </si>
  <si>
    <t xml:space="preserve">01 — Lease Master | Controlled Input + Derived Fields</t>
  </si>
  <si>
    <t xml:space="preserve">Lease ID</t>
  </si>
  <si>
    <t xml:space="preserve">Status</t>
  </si>
  <si>
    <t xml:space="preserve">Contract Date</t>
  </si>
  <si>
    <t xml:space="preserve">Commencement Date</t>
  </si>
  <si>
    <t xml:space="preserve">Expiry Date</t>
  </si>
  <si>
    <t xml:space="preserve">First Payment Date</t>
  </si>
  <si>
    <t xml:space="preserve">Payment Frequency</t>
  </si>
  <si>
    <t xml:space="preserve">Payment Timing</t>
  </si>
  <si>
    <t xml:space="preserve">Base Payment</t>
  </si>
  <si>
    <t xml:space="preserve">Escalation Type</t>
  </si>
  <si>
    <t xml:space="preserve">Escalation Amount</t>
  </si>
  <si>
    <t xml:space="preserve">Escalation Rate</t>
  </si>
  <si>
    <t xml:space="preserve">First Escalation Date</t>
  </si>
  <si>
    <t xml:space="preserve">Escalation Frequency</t>
  </si>
  <si>
    <t xml:space="preserve">Currency</t>
  </si>
  <si>
    <t xml:space="preserve">Annual IBR</t>
  </si>
  <si>
    <t xml:space="preserve">Prepaid</t>
  </si>
  <si>
    <t xml:space="preserve">IDC</t>
  </si>
  <si>
    <t xml:space="preserve">Legacy Restoration PV (ignored when cost supplied)</t>
  </si>
  <si>
    <t xml:space="preserve">Lease Incentive</t>
  </si>
  <si>
    <t xml:space="preserve">Security Deposit Paid</t>
  </si>
  <si>
    <t xml:space="preserve">Deposit Refund Date</t>
  </si>
  <si>
    <t xml:space="preserve">Deposit Discount Rate</t>
  </si>
  <si>
    <t xml:space="preserve">Deposit ECL Rate</t>
  </si>
  <si>
    <t xml:space="preserve">ECL PD</t>
  </si>
  <si>
    <t xml:space="preserve">ECL LGD</t>
  </si>
  <si>
    <t xml:space="preserve">Reporting FX Rate</t>
  </si>
  <si>
    <t xml:space="preserve">Counterparty</t>
  </si>
  <si>
    <t xml:space="preserve">Cost Centre</t>
  </si>
  <si>
    <t xml:space="preserve">Restoration Cost Estimate</t>
  </si>
  <si>
    <t xml:space="preserve">Expected Restoration Date</t>
  </si>
  <si>
    <t xml:space="preserve">Restoration Discount Rate</t>
  </si>
  <si>
    <t xml:space="preserve">Restoration PV (Calculated)</t>
  </si>
  <si>
    <t xml:space="preserve">Restoration Basis</t>
  </si>
  <si>
    <t xml:space="preserve">Measurement Basis</t>
  </si>
  <si>
    <t xml:space="preserve">Assessed Effective Expiry</t>
  </si>
  <si>
    <t xml:space="preserve">LEASE-001</t>
  </si>
  <si>
    <t xml:space="preserve">DRAFT</t>
  </si>
  <si>
    <t xml:space="preserve">Annual</t>
  </si>
  <si>
    <t xml:space="preserve">Arrears</t>
  </si>
  <si>
    <t xml:space="preserve">Fixed %</t>
  </si>
  <si>
    <t xml:space="preserve">INR</t>
  </si>
  <si>
    <t xml:space="preserve">Landlord Alpha</t>
  </si>
  <si>
    <t xml:space="preserve">CC-101</t>
  </si>
  <si>
    <t xml:space="preserve">Monthly</t>
  </si>
  <si>
    <t xml:space="preserve">LEASE-002</t>
  </si>
  <si>
    <t xml:space="preserve">Quarterly</t>
  </si>
  <si>
    <t xml:space="preserve">Advance</t>
  </si>
  <si>
    <t xml:space="preserve">Fixed Amount</t>
  </si>
  <si>
    <t xml:space="preserve">Landlord Beta</t>
  </si>
  <si>
    <t xml:space="preserve">CC-102</t>
  </si>
  <si>
    <t xml:space="preserve">LEASE-003</t>
  </si>
  <si>
    <t xml:space="preserve">Semi-annual</t>
  </si>
  <si>
    <t xml:space="preserve">Landlord Gamma</t>
  </si>
  <si>
    <t xml:space="preserve">CC-103</t>
  </si>
  <si>
    <t xml:space="preserve">LEASE-004</t>
  </si>
  <si>
    <t xml:space="preserve">None</t>
  </si>
  <si>
    <t xml:space="preserve">Equipment Co</t>
  </si>
  <si>
    <t xml:space="preserve">CC-104</t>
  </si>
  <si>
    <t xml:space="preserve">LEASE-005</t>
  </si>
  <si>
    <t xml:space="preserve">Landlord Delta</t>
  </si>
  <si>
    <t xml:space="preserve">CC-105</t>
  </si>
  <si>
    <t xml:space="preserve">LEASE-006</t>
  </si>
  <si>
    <t xml:space="preserve">Landlord Epsilon</t>
  </si>
  <si>
    <t xml:space="preserve">CC-106</t>
  </si>
  <si>
    <t xml:space="preserve">LEASE-007</t>
  </si>
  <si>
    <t xml:space="preserve">Landlord Zeta</t>
  </si>
  <si>
    <t xml:space="preserve">CC-107</t>
  </si>
  <si>
    <t xml:space="preserve">LEASE-008</t>
  </si>
  <si>
    <t xml:space="preserve">USD</t>
  </si>
  <si>
    <t xml:space="preserve">Global Properties</t>
  </si>
  <si>
    <t xml:space="preserve">CC-108</t>
  </si>
  <si>
    <t xml:space="preserve">LEASE-009</t>
  </si>
  <si>
    <t xml:space="preserve">Landlord Eta</t>
  </si>
  <si>
    <t xml:space="preserve">CC-109</t>
  </si>
  <si>
    <t xml:space="preserve">LEASE-010</t>
  </si>
  <si>
    <t xml:space="preserve">Landlord Theta</t>
  </si>
  <si>
    <t xml:space="preserve">CC-110</t>
  </si>
  <si>
    <t xml:space="preserve">20 — Non-uniform Escalation / Payment Step Schedule</t>
  </si>
  <si>
    <t xml:space="preserve">Effective Date</t>
  </si>
  <si>
    <t xml:space="preserve">Type</t>
  </si>
  <si>
    <t xml:space="preserve">Event Sequence</t>
  </si>
  <si>
    <t xml:space="preserve">Description</t>
  </si>
  <si>
    <t xml:space="preserve">Applies only to this Lease ID; chronological order + Event Sequence.</t>
  </si>
  <si>
    <t xml:space="preserve">Reset Amount</t>
  </si>
  <si>
    <t xml:space="preserve">02 — Contractual Payment Schedule | Formula Trace</t>
  </si>
  <si>
    <t xml:space="preserve">Regime</t>
  </si>
  <si>
    <t xml:space="preserve">Period</t>
  </si>
  <si>
    <t xml:space="preserve">Payment Date</t>
  </si>
  <si>
    <t xml:space="preserve">Payment (Formula)</t>
  </si>
  <si>
    <t xml:space="preserve">Unpaid at Commencement</t>
  </si>
  <si>
    <t xml:space="preserve">Days from Commencement</t>
  </si>
  <si>
    <t xml:space="preserve">Discount Period (Years)</t>
  </si>
  <si>
    <t xml:space="preserve">Discount Factor</t>
  </si>
  <si>
    <t xml:space="preserve">PV (Formula)</t>
  </si>
  <si>
    <t xml:space="preserve">Engine Cross-check</t>
  </si>
  <si>
    <t xml:space="preserve">Payment Event</t>
  </si>
  <si>
    <t xml:space="preserve">YES</t>
  </si>
  <si>
    <t xml:space="preserve">NO</t>
  </si>
  <si>
    <t xml:space="preserve">03 — Initial Recognition | Detailed Back-calculation</t>
  </si>
  <si>
    <t xml:space="preserve">Initial Lease Liability (Formula)</t>
  </si>
  <si>
    <t xml:space="preserve">Advance at Commencement</t>
  </si>
  <si>
    <t xml:space="preserve">Restoration PV (Formula)</t>
  </si>
  <si>
    <t xml:space="preserve">Security Deposit Day-One Adjustment</t>
  </si>
  <si>
    <t xml:space="preserve">Initial ROU (Formula)</t>
  </si>
  <si>
    <t xml:space="preserve">Derivation</t>
  </si>
  <si>
    <t xml:space="preserve">Initial liability + advance + prepaid + qualifying IDC + restoration PV − lease incentive + security-deposit day-one lease adjustment</t>
  </si>
  <si>
    <t xml:space="preserve">04 — Lease Liability | Roll-forward | Actual Payment Dates</t>
  </si>
  <si>
    <t xml:space="preserve">Opening</t>
  </si>
  <si>
    <t xml:space="preserve">Interest</t>
  </si>
  <si>
    <t xml:space="preserve">Payment</t>
  </si>
  <si>
    <t xml:space="preserve">Principal</t>
  </si>
  <si>
    <t xml:space="preserve">Closing</t>
  </si>
  <si>
    <t xml:space="preserve">Days</t>
  </si>
  <si>
    <t xml:space="preserve">Interest Formula</t>
  </si>
  <si>
    <t xml:space="preserve">Control</t>
  </si>
  <si>
    <t xml:space="preserve">REPORTING</t>
  </si>
  <si>
    <t xml:space="preserve">05 — ROU Asset / Depreciation | Detailed Working</t>
  </si>
  <si>
    <t xml:space="preserve">Date</t>
  </si>
  <si>
    <t xml:space="preserve">Opening ROU</t>
  </si>
  <si>
    <t xml:space="preserve">Depreciation</t>
  </si>
  <si>
    <t xml:space="preserve">Closing ROU</t>
  </si>
  <si>
    <t xml:space="preserve">Useful Months</t>
  </si>
  <si>
    <t xml:space="preserve">Formula / Basis</t>
  </si>
  <si>
    <t xml:space="preserve">Straight-line depreciation over assessed lease term; modified regimes use engine regime split.</t>
  </si>
  <si>
    <t xml:space="preserve">06 — Ind AS 109 Security Deposit | EIR / ECL Detailed</t>
  </si>
  <si>
    <t xml:space="preserve">EIR Rate</t>
  </si>
  <si>
    <t xml:space="preserve">Interest Income</t>
  </si>
  <si>
    <t xml:space="preserve">Cash Refund</t>
  </si>
  <si>
    <t xml:space="preserve">Gross Closing</t>
  </si>
  <si>
    <t xml:space="preserve">ECL</t>
  </si>
  <si>
    <t xml:space="preserve">Net Carrying Amount</t>
  </si>
  <si>
    <t xml:space="preserve">Formula</t>
  </si>
  <si>
    <t xml:space="preserve">Opening × EIR; less refund; ECL uses PD×LGD where supplied, otherwise configured ECL rate.</t>
  </si>
  <si>
    <t xml:space="preserve">21 — Future Lease Liability Projection | Current Portion Support</t>
  </si>
  <si>
    <t xml:space="preserve">Within 12 Months</t>
  </si>
  <si>
    <t xml:space="preserve">07 — Current / Non-current Lease Liability | Dynamic 12-Month Principal Test</t>
  </si>
  <si>
    <t xml:space="preserve">Current</t>
  </si>
  <si>
    <t xml:space="preserve">Non-current</t>
  </si>
  <si>
    <t xml:space="preserve">Total</t>
  </si>
  <si>
    <t xml:space="preserve">08 — Journal Entries | Balance Control</t>
  </si>
  <si>
    <t xml:space="preserve">JE Type</t>
  </si>
  <si>
    <t xml:space="preserve">Debit GL</t>
  </si>
  <si>
    <t xml:space="preserve">Credit GL</t>
  </si>
  <si>
    <t xml:space="preserve">Debit</t>
  </si>
  <si>
    <t xml:space="preserve">Credit</t>
  </si>
  <si>
    <t xml:space="preserve">2022-04-01</t>
  </si>
  <si>
    <t xml:space="preserve">Initial Recognition - ROU</t>
  </si>
  <si>
    <t xml:space="preserve">ROU Asset - Other</t>
  </si>
  <si>
    <t xml:space="preserve">Lease Liability</t>
  </si>
  <si>
    <t xml:space="preserve">Initial Recognition - Initial Direct Costs</t>
  </si>
  <si>
    <t xml:space="preserve">Bank</t>
  </si>
  <si>
    <t xml:space="preserve">Initial Recognition - Restoration Provision</t>
  </si>
  <si>
    <t xml:space="preserve">Restoration Provision</t>
  </si>
  <si>
    <t xml:space="preserve">Lease Payment</t>
  </si>
  <si>
    <t xml:space="preserve">Periodic Interest</t>
  </si>
  <si>
    <t xml:space="preserve">Finance Cost</t>
  </si>
  <si>
    <t xml:space="preserve">Depreciation Expense</t>
  </si>
  <si>
    <t xml:space="preserve">Accumulated Depreciation - ROU</t>
  </si>
  <si>
    <t xml:space="preserve">Security Deposit - Initial FV</t>
  </si>
  <si>
    <t xml:space="preserve">Security Deposit Financial Asset</t>
  </si>
  <si>
    <t xml:space="preserve">Security Deposit - Day 1 Lease Adjustment</t>
  </si>
  <si>
    <t xml:space="preserve">Deposit EIR</t>
  </si>
  <si>
    <t xml:space="preserve">Restoration Unwinding</t>
  </si>
  <si>
    <t xml:space="preserve">Finance Cost - Restoration</t>
  </si>
  <si>
    <t xml:space="preserve">ECL Allowance</t>
  </si>
  <si>
    <t xml:space="preserve">Impairment Loss</t>
  </si>
  <si>
    <t xml:space="preserve">ECL Allowance - Security Deposit</t>
  </si>
  <si>
    <t xml:space="preserve">2024-01-01</t>
  </si>
  <si>
    <t xml:space="preserve">Initial Recognition - Advance Payment</t>
  </si>
  <si>
    <t xml:space="preserve">Initial Recognition - Lease Incentive</t>
  </si>
  <si>
    <t xml:space="preserve">Stub Interest to Reporting Date</t>
  </si>
  <si>
    <t xml:space="preserve">2026-04-01</t>
  </si>
  <si>
    <t xml:space="preserve">2025-01-15</t>
  </si>
  <si>
    <t xml:space="preserve">2023-07-01</t>
  </si>
  <si>
    <t xml:space="preserve">2026-07-01</t>
  </si>
  <si>
    <t xml:space="preserve">2024-10-01</t>
  </si>
  <si>
    <t xml:space="preserve">2023-01-01</t>
  </si>
  <si>
    <t xml:space="preserve">2025-06-01</t>
  </si>
  <si>
    <t xml:space="preserve">2024-04-01</t>
  </si>
  <si>
    <t xml:space="preserve">TOTAL</t>
  </si>
  <si>
    <t xml:space="preserve">Difference</t>
  </si>
  <si>
    <t xml:space="preserve">09 — Disclosures | Formula-linked Summary</t>
  </si>
  <si>
    <t xml:space="preserve">Source / Formula</t>
  </si>
  <si>
    <t xml:space="preserve">2026-09-06</t>
  </si>
  <si>
    <t xml:space="preserve">Central configuration</t>
  </si>
  <si>
    <t xml:space="preserve">Total Reporting Liability</t>
  </si>
  <si>
    <t xml:space="preserve">Formula-linked</t>
  </si>
  <si>
    <t xml:space="preserve">Current Liability</t>
  </si>
  <si>
    <t xml:space="preserve">Non-current Liability</t>
  </si>
  <si>
    <t xml:space="preserve">Security Deposit Gross</t>
  </si>
  <si>
    <t xml:space="preserve">Security Deposit ECL</t>
  </si>
  <si>
    <t xml:space="preserve">Modification Gain/(Loss) — P&amp;L</t>
  </si>
  <si>
    <t xml:space="preserve">10 — Maturity Analysis | Undiscounted Payments</t>
  </si>
  <si>
    <t xml:space="preserve">&lt;1 year</t>
  </si>
  <si>
    <t xml:space="preserve">1-2 years</t>
  </si>
  <si>
    <t xml:space="preserve">2-3 years</t>
  </si>
  <si>
    <t xml:space="preserve">3-4 years</t>
  </si>
  <si>
    <t xml:space="preserve">4-5 years</t>
  </si>
  <si>
    <t xml:space="preserve">&gt;5 years</t>
  </si>
  <si>
    <t xml:space="preserve">11 — Lease Term Assessment</t>
  </si>
  <si>
    <t xml:space="preserve">Contractual Expiry</t>
  </si>
  <si>
    <t xml:space="preserve">Effective (Assessed) Expiry</t>
  </si>
  <si>
    <t xml:space="preserve">Extension Reasonably Certain</t>
  </si>
  <si>
    <t xml:space="preserve">Termination Reasonably Certain</t>
  </si>
  <si>
    <t xml:space="preserve">Assessment Notes</t>
  </si>
  <si>
    <t xml:space="preserve">2027-03-31</t>
  </si>
  <si>
    <t xml:space="preserve">No</t>
  </si>
  <si>
    <t xml:space="preserve">No option reassessment — contractual term used as-is.</t>
  </si>
  <si>
    <t xml:space="preserve">2029-12-31</t>
  </si>
  <si>
    <t xml:space="preserve">2031-03-31</t>
  </si>
  <si>
    <t xml:space="preserve">2028-01-14</t>
  </si>
  <si>
    <t xml:space="preserve">2028-06-30</t>
  </si>
  <si>
    <t xml:space="preserve">2030-06-30</t>
  </si>
  <si>
    <t xml:space="preserve">2029-09-30</t>
  </si>
  <si>
    <t xml:space="preserve">2027-12-31</t>
  </si>
  <si>
    <t xml:space="preserve">2029-05-31</t>
  </si>
  <si>
    <t xml:space="preserve">2029-03-31</t>
  </si>
  <si>
    <t xml:space="preserve">12 — Restoration / Dismantling Provision | Detailed PV + Unwinding</t>
  </si>
  <si>
    <t xml:space="preserve">Unwinding Interest</t>
  </si>
  <si>
    <t xml:space="preserve">Future Cost</t>
  </si>
  <si>
    <t xml:space="preserve">Discount Rate</t>
  </si>
  <si>
    <t xml:space="preserve">Opening provision × effective discount rate for elapsed days; closing = opening + unwinding</t>
  </si>
  <si>
    <t xml:space="preserve">13 — Lease Modifications / Remeasurement Log | Back-calculation</t>
  </si>
  <si>
    <t xml:space="preserve">Modification Type</t>
  </si>
  <si>
    <t xml:space="preserve">Liability Immediately Before</t>
  </si>
  <si>
    <t xml:space="preserve">Revised Liability</t>
  </si>
  <si>
    <t xml:space="preserve">ROU Adjustment</t>
  </si>
  <si>
    <t xml:space="preserve">P&amp;L Gain/(Loss)</t>
  </si>
  <si>
    <t xml:space="preserve">22 — Independent Validation Evidence | Separate Reconstruction</t>
  </si>
  <si>
    <t xml:space="preserve">Initial Liability</t>
  </si>
  <si>
    <t xml:space="preserve">PASS</t>
  </si>
  <si>
    <t xml:space="preserve">14 — Engine / Excel / GL Reconciliation</t>
  </si>
  <si>
    <t xml:space="preserve">Independent Validator Liability</t>
  </si>
  <si>
    <t xml:space="preserve">Excel Formula Liability</t>
  </si>
  <si>
    <t xml:space="preserve">GL Extract Liability</t>
  </si>
  <si>
    <t xml:space="preserve">Variance Validator-Excel</t>
  </si>
  <si>
    <t xml:space="preserve">Variance Validator-GL</t>
  </si>
  <si>
    <t xml:space="preserve">Control note: GL reconciliation is intentionally blocked until a real GL extract is entered; the Engine vs Excel Formula column is independently checkable.</t>
  </si>
  <si>
    <t xml:space="preserve">15 — Error Log</t>
  </si>
  <si>
    <t xml:space="preserve">Run ID</t>
  </si>
  <si>
    <t xml:space="preserve">Module</t>
  </si>
  <si>
    <t xml:space="preserve">Severity</t>
  </si>
  <si>
    <t xml:space="preserve">Expected</t>
  </si>
  <si>
    <t xml:space="preserve">Actual</t>
  </si>
  <si>
    <t xml:space="preserve">16 — Company-wise Audit Trail</t>
  </si>
  <si>
    <t xml:space="preserve">Timestamp</t>
  </si>
  <si>
    <t xml:space="preserve">Username</t>
  </si>
  <si>
    <t xml:space="preserve">Role</t>
  </si>
  <si>
    <t xml:space="preserve">Object Type</t>
  </si>
  <si>
    <t xml:space="preserve">Object ID</t>
  </si>
  <si>
    <t xml:space="preserve">Field</t>
  </si>
  <si>
    <t xml:space="preserve">Old Value</t>
  </si>
  <si>
    <t xml:space="preserve">New Value</t>
  </si>
  <si>
    <t xml:space="preserve">Reason</t>
  </si>
  <si>
    <t xml:space="preserve">Action</t>
  </si>
  <si>
    <t xml:space="preserve">Approval Status</t>
  </si>
  <si>
    <t xml:space="preserve">2026-09-06T15:58:19</t>
  </si>
  <si>
    <t xml:space="preserve">Vaibhav@admin</t>
  </si>
  <si>
    <t xml:space="preserve">SYSTEM</t>
  </si>
  <si>
    <t xml:space="preserve">RUN</t>
  </si>
  <si>
    <t xml:space="preserve">RUN-VAIBHAV@1-D398E788</t>
  </si>
  <si>
    <t xml:space="preserve">CALCULATION_RUN</t>
  </si>
  <si>
    <t xml:space="preserve">2026-09-06T15:58:13</t>
  </si>
  <si>
    <t xml:space="preserve">ADMIN</t>
  </si>
  <si>
    <t xml:space="preserve">IMPORT_BATCH</t>
  </si>
  <si>
    <t xml:space="preserve">IMP-VAIBHAV@1-D5F347D56D</t>
  </si>
  <si>
    <t xml:space="preserve">Imported 10 leases from Lease_Dummy_Import.xlsx</t>
  </si>
  <si>
    <t xml:space="preserve">IMPORT_COMMIT</t>
  </si>
  <si>
    <t xml:space="preserve">LEASE</t>
  </si>
  <si>
    <t xml:space="preserve">Lease created</t>
  </si>
  <si>
    <t xml:space="preserve">CREATE</t>
  </si>
  <si>
    <t xml:space="preserve">2026-09-06T15:58:12</t>
  </si>
  <si>
    <t xml:space="preserve">2026-09-06T15:56:50</t>
  </si>
  <si>
    <t xml:space="preserve">USER</t>
  </si>
  <si>
    <t xml:space="preserve">LOGIN</t>
  </si>
  <si>
    <t xml:space="preserve">2026-09-06T15:56:35</t>
  </si>
  <si>
    <t xml:space="preserve">COMPANY</t>
  </si>
  <si>
    <t xml:space="preserve">VAIBHAV@1</t>
  </si>
  <si>
    <t xml:space="preserve">Company created</t>
  </si>
  <si>
    <t xml:space="preserve">17 — Formula / Calculation Map | Auditor Cross-check</t>
  </si>
  <si>
    <t xml:space="preserve">Area</t>
  </si>
  <si>
    <t xml:space="preserve">Formula / Logic</t>
  </si>
  <si>
    <t xml:space="preserve">Primary Source</t>
  </si>
  <si>
    <t xml:space="preserve">Auditor Cross-check</t>
  </si>
  <si>
    <t xml:space="preserve">Payment frequency</t>
  </si>
  <si>
    <t xml:space="preserve">Actual contractual Payment Frequency controls payment dates; no monthly cash is invented for quarterly/semi-annual/annual leases.</t>
  </si>
  <si>
    <t xml:space="preserve">Lease Master + Payment Schedule</t>
  </si>
  <si>
    <t xml:space="preserve">Count and inspect Payment Date rows</t>
  </si>
  <si>
    <t xml:space="preserve">Payment amount</t>
  </si>
  <si>
    <t xml:space="preserve">Base payment with either uniform escalation or chronological non-uniform events.</t>
  </si>
  <si>
    <t xml:space="preserve">01_Lease_Master / 20_Escalation_Schedule</t>
  </si>
  <si>
    <t xml:space="preserve">Inspect Payment (Formula)</t>
  </si>
  <si>
    <t xml:space="preserve">Initial lease liability</t>
  </si>
  <si>
    <t xml:space="preserve">SUM of discounted contractual payments; advance payments excluded from liability.</t>
  </si>
  <si>
    <t xml:space="preserve">02_Payment_Schedule</t>
  </si>
  <si>
    <t xml:space="preserve">SUM(PV Formula)</t>
  </si>
  <si>
    <t xml:space="preserve">Discount factor</t>
  </si>
  <si>
    <t xml:space="preserve">1 / (1 + Annual IBR) ^ (Days / 365).</t>
  </si>
  <si>
    <t xml:space="preserve">01_Lease_Master</t>
  </si>
  <si>
    <t xml:space="preserve">Recalculate any payment row</t>
  </si>
  <si>
    <t xml:space="preserve">Initial Liability + advance + prepaid + IDC + restoration PV − lease incentive.</t>
  </si>
  <si>
    <t xml:space="preserve">03_Initial_Recognition</t>
  </si>
  <si>
    <t xml:space="preserve">Back-calculate every component</t>
  </si>
  <si>
    <t xml:space="preserve">Lease liability</t>
  </si>
  <si>
    <t xml:space="preserve">Opening + interest − actual contractual payment.</t>
  </si>
  <si>
    <t xml:space="preserve">04_Lease_Liability</t>
  </si>
  <si>
    <t xml:space="preserve">Opening + Interest - Payment = Closing</t>
  </si>
  <si>
    <t xml:space="preserve">Opening × [(1+IBR)^(Days/365) − 1].</t>
  </si>
  <si>
    <t xml:space="preserve">Daily/irregular day count visible</t>
  </si>
  <si>
    <t xml:space="preserve">Current portion</t>
  </si>
  <si>
    <t xml:space="preserve">Principal of actual payments due within 12 months after reporting date.</t>
  </si>
  <si>
    <t xml:space="preserve">Engine + Current/Non-current</t>
  </si>
  <si>
    <t xml:space="preserve">Tie current + non-current to reporting balance</t>
  </si>
  <si>
    <t xml:space="preserve">ROU depreciation</t>
  </si>
  <si>
    <t xml:space="preserve">Initial ROU / assessed lease term, capped at carrying amount.</t>
  </si>
  <si>
    <t xml:space="preserve">05_ROU_Depreciation</t>
  </si>
  <si>
    <t xml:space="preserve">Reperform useful months</t>
  </si>
  <si>
    <t xml:space="preserve">Restoration PV</t>
  </si>
  <si>
    <t xml:space="preserve">Future restoration cost / (1+discount rate)^(days/365).</t>
  </si>
  <si>
    <t xml:space="preserve">Compare AG to independent calculation</t>
  </si>
  <si>
    <t xml:space="preserve">Restoration unwinding</t>
  </si>
  <si>
    <t xml:space="preserve">Opening provision × [(1+rate)^(days/365)-1].</t>
  </si>
  <si>
    <t xml:space="preserve">12_Restoration_Provision</t>
  </si>
  <si>
    <t xml:space="preserve">Recalculate each row</t>
  </si>
  <si>
    <t xml:space="preserve">Security deposit</t>
  </si>
  <si>
    <t xml:space="preserve">Amortised cost using EIR; ECL separately deducted.</t>
  </si>
  <si>
    <t xml:space="preserve">06_IndAS109_Deposit</t>
  </si>
  <si>
    <t xml:space="preserve">Tie gross/ECL/net</t>
  </si>
  <si>
    <t xml:space="preserve">Modification</t>
  </si>
  <si>
    <t xml:space="preserve">PV of revised remaining payments at modification-date rate; ROU/P&amp;L adjustment follows Ind AS 116.</t>
  </si>
  <si>
    <t xml:space="preserve">13_Modifications_Remeasurement</t>
  </si>
  <si>
    <t xml:space="preserve">Review approved event terms</t>
  </si>
  <si>
    <t xml:space="preserve">Daily measurement option</t>
  </si>
  <si>
    <t xml:space="preserve">Daily rows accrue interest for exact elapsed days; cash appears only on contractual payment dates.</t>
  </si>
  <si>
    <t xml:space="preserve">Engine measurement schedule</t>
  </si>
  <si>
    <t xml:space="preserve">Inspect Payment Event column</t>
  </si>
  <si>
    <t xml:space="preserve">18 — Legal / Technical References</t>
  </si>
  <si>
    <t xml:space="preserve">Standard</t>
  </si>
  <si>
    <t xml:space="preserve">Reference</t>
  </si>
  <si>
    <t xml:space="preserve">Application</t>
  </si>
  <si>
    <t xml:space="preserve">Authority</t>
  </si>
  <si>
    <t xml:space="preserve">Ind AS 116</t>
  </si>
  <si>
    <t xml:space="preserve">Paras 22–24</t>
  </si>
  <si>
    <t xml:space="preserve">Initial ROU recognition</t>
  </si>
  <si>
    <t xml:space="preserve">MCA-notified Ind AS</t>
  </si>
  <si>
    <t xml:space="preserve">Paras 26–28</t>
  </si>
  <si>
    <t xml:space="preserve">Paras 29–35</t>
  </si>
  <si>
    <t xml:space="preserve">Subsequent measurement</t>
  </si>
  <si>
    <t xml:space="preserve">Paras 18–19</t>
  </si>
  <si>
    <t xml:space="preserve">Lease term / options</t>
  </si>
  <si>
    <t xml:space="preserve">Paras 39–46</t>
  </si>
  <si>
    <t xml:space="preserve">Remeasurement / modification</t>
  </si>
  <si>
    <t xml:space="preserve">Paras 51–60</t>
  </si>
  <si>
    <t xml:space="preserve">Disclosures</t>
  </si>
  <si>
    <t xml:space="preserve">Ind AS 109</t>
  </si>
  <si>
    <t xml:space="preserve">Amortised cost / EIR / ECL</t>
  </si>
  <si>
    <t xml:space="preserve">Refundable security deposit</t>
  </si>
  <si>
    <t xml:space="preserve">Ind AS 37</t>
  </si>
  <si>
    <t xml:space="preserve">Present value of restoration cost</t>
  </si>
  <si>
    <t xml:space="preserve">Restoration/dismantling provision</t>
  </si>
  <si>
    <t xml:space="preserve">ICAI Educational Material</t>
  </si>
  <si>
    <t xml:space="preserve">Ind AS 116 security deposits</t>
  </si>
  <si>
    <t xml:space="preserve">Refundable deposit discounting</t>
  </si>
  <si>
    <t xml:space="preserve">ICAI</t>
  </si>
  <si>
    <t xml:space="preserve">19 — Detailed Monthly Measurement Working | No Invented Payments</t>
  </si>
  <si>
    <t xml:space="preserve">Basis</t>
  </si>
  <si>
    <t xml:space="preserve">Opening Liability</t>
  </si>
  <si>
    <t xml:space="preserve">Actual Payment</t>
  </si>
  <si>
    <t xml:space="preserve">Closing Liability</t>
  </si>
  <si>
    <t xml:space="preserve">Audit Formula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</si>
</sst>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;\(#,##0.00\)"/>
    <numFmt numFmtId="167" formatCode="dd\-mm\-yyyy"/>
    <numFmt numFmtId="168" formatCode="mm/dd/yy"/>
    <numFmt numFmtId="169" formatCode="dd\-mm\-yyyy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5"/>
    <col collapsed="false" customWidth="true" hidden="false" outlineLevel="0" max="3" min="3" style="1" width="42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6</v>
      </c>
      <c r="B5" s="4" t="s">
        <v>7</v>
      </c>
      <c r="C5" s="4" t="s">
        <v>8</v>
      </c>
      <c r="D5" s="5"/>
    </row>
    <row r="6" customFormat="false" ht="15" hidden="false" customHeight="true" outlineLevel="0" collapsed="false">
      <c r="A6" s="1" t="s">
        <v>9</v>
      </c>
      <c r="B6" s="6" t="n">
        <f aca="false">COUNTA(01_Lease_Master!A6:A1048576)</f>
        <v>10</v>
      </c>
      <c r="C6" s="1" t="s">
        <v>10</v>
      </c>
    </row>
    <row r="7" customFormat="false" ht="15" hidden="false" customHeight="true" outlineLevel="0" collapsed="false">
      <c r="A7" s="1" t="s">
        <v>11</v>
      </c>
      <c r="B7" s="6" t="n">
        <f aca="false">SUM(03_Initial_Recognition!B6:B1048576)</f>
        <v>40253177.2240013</v>
      </c>
      <c r="C7" s="1" t="s">
        <v>12</v>
      </c>
    </row>
    <row r="8" customFormat="false" ht="15" hidden="false" customHeight="true" outlineLevel="0" collapsed="false">
      <c r="A8" s="1" t="s">
        <v>13</v>
      </c>
      <c r="B8" s="6" t="n">
        <f aca="false">SUM(03_Initial_Recognition!I6:I1048576)</f>
        <v>43785207.8369707</v>
      </c>
      <c r="C8" s="1" t="s">
        <v>12</v>
      </c>
    </row>
    <row r="9" customFormat="false" ht="15" hidden="false" customHeight="true" outlineLevel="0" collapsed="false">
      <c r="A9" s="1" t="s">
        <v>14</v>
      </c>
      <c r="B9" s="6" t="n">
        <f aca="false">SUMIFS(04_Lease_Liability!H:H,04_Lease_Liability!B:B,"REPORTING")</f>
        <v>22925112.4600637</v>
      </c>
      <c r="C9" s="1" t="s">
        <v>15</v>
      </c>
    </row>
    <row r="10" customFormat="false" ht="15" hidden="false" customHeight="true" outlineLevel="0" collapsed="false">
      <c r="A10" s="1" t="s">
        <v>16</v>
      </c>
      <c r="B10" s="6" t="n">
        <f aca="false">SUMIFS(05_ROU_Depreciation!G:G,05_ROU_Depreciation!B:B,"REPORTING")</f>
        <v>21883349.2369707</v>
      </c>
      <c r="C10" s="1" t="s">
        <v>17</v>
      </c>
    </row>
    <row r="11" customFormat="false" ht="15" hidden="false" customHeight="true" outlineLevel="0" collapsed="false">
      <c r="A11" s="1" t="s">
        <v>18</v>
      </c>
      <c r="B11" s="6" t="n">
        <f aca="false">SUM(06_IndAS109_Deposit!H6:H1048576)</f>
        <v>32721096.5921766</v>
      </c>
      <c r="C11" s="1" t="s">
        <v>19</v>
      </c>
    </row>
    <row r="12" customFormat="false" ht="15" hidden="false" customHeight="true" outlineLevel="0" collapsed="false">
      <c r="A12" s="1" t="s">
        <v>20</v>
      </c>
      <c r="B12" s="6" t="n">
        <f aca="false">SUM(06_IndAS109_Deposit!I6:I1048576)</f>
        <v>360234.651318291</v>
      </c>
      <c r="C12" s="1" t="s">
        <v>21</v>
      </c>
    </row>
    <row r="13" customFormat="false" ht="15" hidden="false" customHeight="true" outlineLevel="0" collapsed="false">
      <c r="A13" s="1" t="s">
        <v>22</v>
      </c>
      <c r="B13" s="6" t="n">
        <f aca="false">SUM(12_Restoration_Provision!F6:F1048576)</f>
        <v>8491163.90487019</v>
      </c>
      <c r="C13" s="1" t="s">
        <v>23</v>
      </c>
    </row>
    <row r="14" customFormat="false" ht="15" hidden="false" customHeight="true" outlineLevel="0" collapsed="false">
      <c r="A14" s="1" t="s">
        <v>24</v>
      </c>
      <c r="B14" s="6" t="n">
        <f aca="false">COUNTA(13_Modifications_Remeasurement!A6:A1048576)</f>
        <v>0</v>
      </c>
      <c r="C14" s="1" t="s">
        <v>25</v>
      </c>
    </row>
    <row r="15" customFormat="false" ht="15" hidden="false" customHeight="true" outlineLevel="0" collapsed="false">
      <c r="A15" s="1" t="s">
        <v>26</v>
      </c>
      <c r="B15" s="6" t="str">
        <f aca="false">IF(ABS(SUM(08_Journal_Entries!F:F)-SUM(08_Journal_Entries!G:G))&lt;=0.01,"PASS","ERROR — JOURNAL OUT OF BALANCE")</f>
        <v>PASS</v>
      </c>
      <c r="C15" s="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9"/>
    <col collapsed="false" customWidth="true" hidden="false" outlineLevel="0" max="5" min="5" style="1" width="13"/>
    <col collapsed="false" customWidth="true" hidden="false" outlineLevel="0" max="6" min="6" style="1" width="20"/>
    <col collapsed="false" customWidth="true" hidden="false" outlineLevel="0" max="7" min="7" style="1" width="19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19"/>
    <col collapsed="false" customWidth="true" hidden="false" outlineLevel="0" max="12" min="12" style="1" width="17"/>
    <col collapsed="false" customWidth="true" hidden="false" outlineLevel="0" max="13" min="13" style="1" width="23"/>
    <col collapsed="false" customWidth="true" hidden="false" outlineLevel="0" max="14" min="14" style="1" width="22"/>
    <col collapsed="false" customWidth="true" hidden="false" outlineLevel="0" max="18" min="15" style="1" width="12"/>
    <col collapsed="false" customWidth="true" hidden="false" outlineLevel="0" max="19" min="19" style="1" width="45"/>
    <col collapsed="false" customWidth="true" hidden="false" outlineLevel="0" max="20" min="20" style="1" width="17"/>
    <col collapsed="false" customWidth="true" hidden="false" outlineLevel="0" max="21" min="21" style="1" width="23"/>
    <col collapsed="false" customWidth="true" hidden="false" outlineLevel="0" max="22" min="22" style="1" width="21"/>
    <col collapsed="false" customWidth="true" hidden="false" outlineLevel="0" max="23" min="23" style="1" width="23"/>
    <col collapsed="false" customWidth="true" hidden="false" outlineLevel="0" max="24" min="24" style="1" width="18"/>
    <col collapsed="false" customWidth="true" hidden="false" outlineLevel="0" max="26" min="25" style="1" width="12"/>
    <col collapsed="false" customWidth="true" hidden="false" outlineLevel="0" max="28" min="27" style="1" width="19"/>
    <col collapsed="false" customWidth="true" hidden="false" outlineLevel="0" max="29" min="29" style="1" width="13"/>
    <col collapsed="false" customWidth="true" hidden="false" outlineLevel="0" max="32" min="30" style="1" width="27"/>
    <col collapsed="false" customWidth="true" hidden="false" outlineLevel="0" max="34" min="33" style="1" width="45"/>
    <col collapsed="false" customWidth="true" hidden="false" outlineLevel="0" max="35" min="35" style="1" width="19"/>
    <col collapsed="false" customWidth="true" hidden="false" outlineLevel="0" max="36" min="36" style="1" width="27"/>
  </cols>
  <sheetData>
    <row r="1" customFormat="false" ht="17.25" hidden="false" customHeight="true" outlineLevel="0" collapsed="false">
      <c r="A1" s="2" t="s">
        <v>28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55</v>
      </c>
      <c r="AB5" s="4" t="s">
        <v>56</v>
      </c>
      <c r="AC5" s="4" t="s">
        <v>57</v>
      </c>
      <c r="AD5" s="4" t="s">
        <v>58</v>
      </c>
      <c r="AE5" s="4" t="s">
        <v>59</v>
      </c>
      <c r="AF5" s="4" t="s">
        <v>60</v>
      </c>
      <c r="AG5" s="4" t="s">
        <v>61</v>
      </c>
      <c r="AH5" s="4" t="s">
        <v>62</v>
      </c>
      <c r="AI5" s="4" t="s">
        <v>63</v>
      </c>
      <c r="AJ5" s="4" t="s">
        <v>64</v>
      </c>
    </row>
    <row r="6" customFormat="false" ht="15" hidden="false" customHeight="true" outlineLevel="0" collapsed="false">
      <c r="A6" s="1" t="s">
        <v>65</v>
      </c>
      <c r="B6" s="1" t="s">
        <v>66</v>
      </c>
      <c r="C6" s="7" t="n">
        <v>44652</v>
      </c>
      <c r="D6" s="7" t="n">
        <v>44652</v>
      </c>
      <c r="E6" s="7" t="n">
        <v>46477</v>
      </c>
      <c r="F6" s="7" t="n">
        <v>44652</v>
      </c>
      <c r="G6" s="1" t="s">
        <v>67</v>
      </c>
      <c r="H6" s="1" t="s">
        <v>68</v>
      </c>
      <c r="I6" s="6" t="n">
        <v>1200000</v>
      </c>
      <c r="J6" s="1" t="s">
        <v>69</v>
      </c>
      <c r="K6" s="6" t="n">
        <v>0</v>
      </c>
      <c r="L6" s="6" t="n">
        <v>0.05</v>
      </c>
      <c r="M6" s="7" t="n">
        <v>45017</v>
      </c>
      <c r="N6" s="1" t="s">
        <v>67</v>
      </c>
      <c r="O6" s="1" t="s">
        <v>70</v>
      </c>
      <c r="P6" s="1" t="n">
        <v>0.09</v>
      </c>
      <c r="Q6" s="6" t="n">
        <v>0</v>
      </c>
      <c r="R6" s="6" t="n">
        <v>50000</v>
      </c>
      <c r="S6" s="6" t="n">
        <v>0</v>
      </c>
      <c r="T6" s="6" t="n">
        <v>0</v>
      </c>
      <c r="U6" s="1" t="n">
        <v>300000</v>
      </c>
      <c r="V6" s="7" t="n">
        <v>46477</v>
      </c>
      <c r="W6" s="6" t="n">
        <v>0.06</v>
      </c>
      <c r="X6" s="6" t="n">
        <v>0.01</v>
      </c>
      <c r="Y6" s="6" t="n">
        <v>0.02</v>
      </c>
      <c r="Z6" s="6" t="n">
        <v>0.5</v>
      </c>
      <c r="AA6" s="6" t="n">
        <v>1</v>
      </c>
      <c r="AB6" s="1" t="s">
        <v>71</v>
      </c>
      <c r="AC6" s="1" t="s">
        <v>72</v>
      </c>
      <c r="AD6" s="1" t="n">
        <v>800000</v>
      </c>
      <c r="AE6" s="7" t="n">
        <v>46477</v>
      </c>
      <c r="AF6" s="6" t="n">
        <v>0.08</v>
      </c>
      <c r="AG6" s="8" t="n">
        <f aca="false">IF(AD6&gt;0,IF(AE6&lt;=D6,"ERROR",AD6/(1+AF6)^((AE6-D6)/365)),S6)</f>
        <v>544466.557627002</v>
      </c>
      <c r="AH6" s="1" t="str">
        <f aca="false">IF(AD6&gt;0,"Calculated from future restoration cost",IF(S6&gt;0,"Legacy manual PV","No restoration provision"))</f>
        <v>Calculated from future restoration cost</v>
      </c>
      <c r="AI6" s="1" t="s">
        <v>73</v>
      </c>
      <c r="AJ6" s="3" t="n">
        <v>46477</v>
      </c>
    </row>
    <row r="7" customFormat="false" ht="15" hidden="false" customHeight="true" outlineLevel="0" collapsed="false">
      <c r="A7" s="1" t="s">
        <v>74</v>
      </c>
      <c r="B7" s="1" t="s">
        <v>66</v>
      </c>
      <c r="C7" s="7" t="n">
        <v>45292</v>
      </c>
      <c r="D7" s="7" t="n">
        <v>45292</v>
      </c>
      <c r="E7" s="7" t="n">
        <v>47483</v>
      </c>
      <c r="F7" s="7" t="n">
        <v>45292</v>
      </c>
      <c r="G7" s="1" t="s">
        <v>75</v>
      </c>
      <c r="H7" s="1" t="s">
        <v>76</v>
      </c>
      <c r="I7" s="6" t="n">
        <v>450000</v>
      </c>
      <c r="J7" s="1" t="s">
        <v>77</v>
      </c>
      <c r="K7" s="6" t="n">
        <v>25000</v>
      </c>
      <c r="L7" s="6" t="n">
        <v>0</v>
      </c>
      <c r="M7" s="7" t="n">
        <v>46023</v>
      </c>
      <c r="N7" s="1" t="s">
        <v>67</v>
      </c>
      <c r="O7" s="1" t="s">
        <v>70</v>
      </c>
      <c r="P7" s="1" t="n">
        <v>0.1</v>
      </c>
      <c r="Q7" s="6" t="n">
        <v>0</v>
      </c>
      <c r="R7" s="6" t="n">
        <v>0</v>
      </c>
      <c r="S7" s="6" t="n">
        <v>0</v>
      </c>
      <c r="T7" s="6" t="n">
        <v>75000</v>
      </c>
      <c r="U7" s="1" t="n">
        <v>150000</v>
      </c>
      <c r="V7" s="7" t="n">
        <v>47483</v>
      </c>
      <c r="W7" s="6" t="n">
        <v>0.06</v>
      </c>
      <c r="X7" s="6" t="n">
        <v>0.01</v>
      </c>
      <c r="Y7" s="6" t="n">
        <v>0.015</v>
      </c>
      <c r="Z7" s="6" t="n">
        <v>0.45</v>
      </c>
      <c r="AA7" s="6" t="n">
        <v>1</v>
      </c>
      <c r="AB7" s="1" t="s">
        <v>78</v>
      </c>
      <c r="AC7" s="1" t="s">
        <v>79</v>
      </c>
      <c r="AD7" s="1" t="n">
        <v>300000</v>
      </c>
      <c r="AE7" s="7" t="n">
        <v>47483</v>
      </c>
      <c r="AF7" s="6" t="n">
        <v>0.09</v>
      </c>
      <c r="AG7" s="8" t="n">
        <f aca="false">IF(AD7&gt;0,IF(AE7&lt;=D7,"ERROR",AD7/(1+AF7)^((AE7-D7)/365)),S7)</f>
        <v>178837.968848169</v>
      </c>
      <c r="AH7" s="1" t="str">
        <f aca="false">IF(AD7&gt;0,"Calculated from future restoration cost",IF(S7&gt;0,"Legacy manual PV","No restoration provision"))</f>
        <v>Calculated from future restoration cost</v>
      </c>
      <c r="AI7" s="1" t="s">
        <v>73</v>
      </c>
      <c r="AJ7" s="3" t="n">
        <v>47483</v>
      </c>
    </row>
    <row r="8" customFormat="false" ht="15" hidden="false" customHeight="true" outlineLevel="0" collapsed="false">
      <c r="A8" s="1" t="s">
        <v>80</v>
      </c>
      <c r="B8" s="1" t="s">
        <v>66</v>
      </c>
      <c r="C8" s="7" t="n">
        <v>46113</v>
      </c>
      <c r="D8" s="7" t="n">
        <v>46113</v>
      </c>
      <c r="E8" s="7" t="n">
        <v>47938</v>
      </c>
      <c r="F8" s="7" t="n">
        <v>46295</v>
      </c>
      <c r="G8" s="1" t="s">
        <v>81</v>
      </c>
      <c r="H8" s="1" t="s">
        <v>68</v>
      </c>
      <c r="I8" s="6" t="n">
        <v>90000</v>
      </c>
      <c r="J8" s="1" t="s">
        <v>69</v>
      </c>
      <c r="K8" s="6" t="n">
        <v>0</v>
      </c>
      <c r="L8" s="6" t="n">
        <v>0.05</v>
      </c>
      <c r="M8" s="7" t="n">
        <v>46478</v>
      </c>
      <c r="N8" s="1" t="s">
        <v>67</v>
      </c>
      <c r="O8" s="1" t="s">
        <v>70</v>
      </c>
      <c r="P8" s="1" t="n">
        <v>0.09</v>
      </c>
      <c r="Q8" s="6" t="n">
        <v>0</v>
      </c>
      <c r="R8" s="6" t="n">
        <v>25000</v>
      </c>
      <c r="S8" s="6" t="n">
        <v>0</v>
      </c>
      <c r="T8" s="6" t="n">
        <v>0</v>
      </c>
      <c r="U8" s="1" t="n">
        <v>200000</v>
      </c>
      <c r="V8" s="7" t="n">
        <v>47938</v>
      </c>
      <c r="W8" s="6" t="n">
        <v>0.06</v>
      </c>
      <c r="X8" s="6" t="n">
        <v>0.01</v>
      </c>
      <c r="Y8" s="6" t="n">
        <v>0.02</v>
      </c>
      <c r="Z8" s="6" t="n">
        <v>0.5</v>
      </c>
      <c r="AA8" s="6" t="n">
        <v>1</v>
      </c>
      <c r="AB8" s="1" t="s">
        <v>82</v>
      </c>
      <c r="AC8" s="1" t="s">
        <v>83</v>
      </c>
      <c r="AD8" s="1" t="n">
        <v>500000</v>
      </c>
      <c r="AE8" s="7" t="n">
        <v>47938</v>
      </c>
      <c r="AF8" s="6" t="n">
        <v>0.08</v>
      </c>
      <c r="AG8" s="8" t="n">
        <f aca="false">IF(AD8&gt;0,IF(AE8&lt;=D8,"ERROR",AD8/(1+AF8)^((AE8-D8)/365)),S8)</f>
        <v>340291.598516876</v>
      </c>
      <c r="AH8" s="1" t="str">
        <f aca="false">IF(AD8&gt;0,"Calculated from future restoration cost",IF(S8&gt;0,"Legacy manual PV","No restoration provision"))</f>
        <v>Calculated from future restoration cost</v>
      </c>
      <c r="AI8" s="1" t="s">
        <v>73</v>
      </c>
      <c r="AJ8" s="3" t="n">
        <v>47938</v>
      </c>
    </row>
    <row r="9" customFormat="false" ht="15" hidden="false" customHeight="true" outlineLevel="0" collapsed="false">
      <c r="A9" s="1" t="s">
        <v>84</v>
      </c>
      <c r="B9" s="1" t="s">
        <v>66</v>
      </c>
      <c r="C9" s="7" t="n">
        <v>45672</v>
      </c>
      <c r="D9" s="7" t="n">
        <v>45672</v>
      </c>
      <c r="E9" s="7" t="n">
        <v>46766</v>
      </c>
      <c r="F9" s="7" t="n">
        <v>45703</v>
      </c>
      <c r="G9" s="1" t="s">
        <v>73</v>
      </c>
      <c r="H9" s="1" t="s">
        <v>68</v>
      </c>
      <c r="I9" s="6" t="n">
        <v>55000</v>
      </c>
      <c r="J9" s="1" t="s">
        <v>85</v>
      </c>
      <c r="K9" s="6" t="n">
        <v>0</v>
      </c>
      <c r="L9" s="6" t="n">
        <v>0</v>
      </c>
      <c r="M9" s="7"/>
      <c r="N9" s="1" t="s">
        <v>67</v>
      </c>
      <c r="O9" s="1" t="s">
        <v>70</v>
      </c>
      <c r="P9" s="1" t="n">
        <v>0.11</v>
      </c>
      <c r="Q9" s="6" t="n">
        <v>0</v>
      </c>
      <c r="R9" s="6" t="n">
        <v>0</v>
      </c>
      <c r="S9" s="6" t="n">
        <v>0</v>
      </c>
      <c r="T9" s="6" t="n">
        <v>0</v>
      </c>
      <c r="U9" s="1" t="n">
        <v>0</v>
      </c>
      <c r="V9" s="7" t="n">
        <v>46766</v>
      </c>
      <c r="W9" s="6" t="n">
        <v>0.06</v>
      </c>
      <c r="X9" s="6" t="n">
        <v>0.01</v>
      </c>
      <c r="Y9" s="6" t="n">
        <v>0.01</v>
      </c>
      <c r="Z9" s="6" t="n">
        <v>0.4</v>
      </c>
      <c r="AA9" s="6" t="n">
        <v>1</v>
      </c>
      <c r="AB9" s="1" t="s">
        <v>86</v>
      </c>
      <c r="AC9" s="1" t="s">
        <v>87</v>
      </c>
      <c r="AD9" s="1" t="n">
        <v>0</v>
      </c>
      <c r="AE9" s="7" t="n">
        <v>46766</v>
      </c>
      <c r="AF9" s="6" t="n">
        <v>0.11</v>
      </c>
      <c r="AG9" s="8" t="n">
        <f aca="false">IF(AD9&gt;0,IF(AE9&lt;=D9,"ERROR",AD9/(1+AF9)^((AE9-D9)/365)),S9)</f>
        <v>0</v>
      </c>
      <c r="AH9" s="1" t="str">
        <f aca="false">IF(AD9&gt;0,"Calculated from future restoration cost",IF(S9&gt;0,"Legacy manual PV","No restoration provision"))</f>
        <v>No restoration provision</v>
      </c>
      <c r="AI9" s="1" t="s">
        <v>73</v>
      </c>
      <c r="AJ9" s="3" t="n">
        <v>46766</v>
      </c>
    </row>
    <row r="10" customFormat="false" ht="15" hidden="false" customHeight="true" outlineLevel="0" collapsed="false">
      <c r="A10" s="1" t="s">
        <v>88</v>
      </c>
      <c r="B10" s="1" t="s">
        <v>66</v>
      </c>
      <c r="C10" s="7" t="n">
        <v>45108</v>
      </c>
      <c r="D10" s="7" t="n">
        <v>45108</v>
      </c>
      <c r="E10" s="7" t="n">
        <v>46934</v>
      </c>
      <c r="F10" s="7" t="n">
        <v>45108</v>
      </c>
      <c r="G10" s="1" t="s">
        <v>75</v>
      </c>
      <c r="H10" s="1" t="s">
        <v>76</v>
      </c>
      <c r="I10" s="6" t="n">
        <v>300000</v>
      </c>
      <c r="J10" s="1" t="s">
        <v>69</v>
      </c>
      <c r="K10" s="6" t="n">
        <v>0</v>
      </c>
      <c r="L10" s="6" t="n">
        <v>0.04</v>
      </c>
      <c r="M10" s="7" t="n">
        <v>45474</v>
      </c>
      <c r="N10" s="1" t="s">
        <v>67</v>
      </c>
      <c r="O10" s="1" t="s">
        <v>70</v>
      </c>
      <c r="P10" s="1" t="n">
        <v>0.095</v>
      </c>
      <c r="Q10" s="6" t="n">
        <v>0</v>
      </c>
      <c r="R10" s="6" t="n">
        <v>10000</v>
      </c>
      <c r="S10" s="6" t="n">
        <v>0</v>
      </c>
      <c r="T10" s="6" t="n">
        <v>0</v>
      </c>
      <c r="U10" s="1" t="n">
        <v>100000</v>
      </c>
      <c r="V10" s="7" t="n">
        <v>46934</v>
      </c>
      <c r="W10" s="6" t="n">
        <v>0.06</v>
      </c>
      <c r="X10" s="6" t="n">
        <v>0.01</v>
      </c>
      <c r="Y10" s="6" t="n">
        <v>0.025</v>
      </c>
      <c r="Z10" s="6" t="n">
        <v>0.55</v>
      </c>
      <c r="AA10" s="6" t="n">
        <v>1</v>
      </c>
      <c r="AB10" s="1" t="s">
        <v>89</v>
      </c>
      <c r="AC10" s="1" t="s">
        <v>90</v>
      </c>
      <c r="AD10" s="1" t="n">
        <v>250000</v>
      </c>
      <c r="AE10" s="7" t="n">
        <v>46934</v>
      </c>
      <c r="AF10" s="6" t="n">
        <v>0.085</v>
      </c>
      <c r="AG10" s="8" t="n">
        <f aca="false">IF(AD10&gt;0,IF(AE10&lt;=D10,"ERROR",AD10/(1+AF10)^((AE10-D10)/365)),S10)</f>
        <v>166224.19942874</v>
      </c>
      <c r="AH10" s="1" t="str">
        <f aca="false">IF(AD10&gt;0,"Calculated from future restoration cost",IF(S10&gt;0,"Legacy manual PV","No restoration provision"))</f>
        <v>Calculated from future restoration cost</v>
      </c>
      <c r="AI10" s="1" t="s">
        <v>73</v>
      </c>
      <c r="AJ10" s="3" t="n">
        <v>46934</v>
      </c>
    </row>
    <row r="11" customFormat="false" ht="15" hidden="false" customHeight="true" outlineLevel="0" collapsed="false">
      <c r="A11" s="1" t="s">
        <v>91</v>
      </c>
      <c r="B11" s="1" t="s">
        <v>66</v>
      </c>
      <c r="C11" s="7" t="n">
        <v>46204</v>
      </c>
      <c r="D11" s="7" t="n">
        <v>46204</v>
      </c>
      <c r="E11" s="7" t="n">
        <v>47664</v>
      </c>
      <c r="F11" s="7" t="n">
        <v>46234</v>
      </c>
      <c r="G11" s="1" t="s">
        <v>73</v>
      </c>
      <c r="H11" s="1" t="s">
        <v>68</v>
      </c>
      <c r="I11" s="6" t="n">
        <v>80000</v>
      </c>
      <c r="J11" s="1" t="s">
        <v>69</v>
      </c>
      <c r="K11" s="6" t="n">
        <v>0</v>
      </c>
      <c r="L11" s="6" t="n">
        <v>0.03</v>
      </c>
      <c r="M11" s="7" t="n">
        <v>46569</v>
      </c>
      <c r="N11" s="1" t="s">
        <v>67</v>
      </c>
      <c r="O11" s="1" t="s">
        <v>70</v>
      </c>
      <c r="P11" s="1" t="n">
        <v>0.085</v>
      </c>
      <c r="Q11" s="6" t="n">
        <v>0</v>
      </c>
      <c r="R11" s="6" t="n">
        <v>0</v>
      </c>
      <c r="S11" s="6" t="n">
        <v>0</v>
      </c>
      <c r="T11" s="6" t="n">
        <v>30000</v>
      </c>
      <c r="U11" s="1" t="n">
        <v>0</v>
      </c>
      <c r="V11" s="7" t="n">
        <v>47664</v>
      </c>
      <c r="W11" s="6" t="n">
        <v>0.06</v>
      </c>
      <c r="X11" s="6" t="n">
        <v>0.01</v>
      </c>
      <c r="Y11" s="6" t="n">
        <v>0.02</v>
      </c>
      <c r="Z11" s="6" t="n">
        <v>0.5</v>
      </c>
      <c r="AA11" s="6" t="n">
        <v>1</v>
      </c>
      <c r="AB11" s="1" t="s">
        <v>92</v>
      </c>
      <c r="AC11" s="1" t="s">
        <v>93</v>
      </c>
      <c r="AD11" s="1" t="n">
        <v>150000</v>
      </c>
      <c r="AE11" s="7" t="n">
        <v>47664</v>
      </c>
      <c r="AF11" s="6" t="n">
        <v>0.075</v>
      </c>
      <c r="AG11" s="8" t="n">
        <f aca="false">IF(AD11&gt;0,IF(AE11&lt;=D11,"ERROR",AD11/(1+AF11)^((AE11-D11)/365)),S11)</f>
        <v>112320.079466456</v>
      </c>
      <c r="AH11" s="1" t="str">
        <f aca="false">IF(AD11&gt;0,"Calculated from future restoration cost",IF(S11&gt;0,"Legacy manual PV","No restoration provision"))</f>
        <v>Calculated from future restoration cost</v>
      </c>
      <c r="AI11" s="1" t="s">
        <v>73</v>
      </c>
      <c r="AJ11" s="3" t="n">
        <v>47664</v>
      </c>
    </row>
    <row r="12" customFormat="false" ht="15" hidden="false" customHeight="true" outlineLevel="0" collapsed="false">
      <c r="A12" s="1" t="s">
        <v>94</v>
      </c>
      <c r="B12" s="1" t="s">
        <v>66</v>
      </c>
      <c r="C12" s="7" t="n">
        <v>45566</v>
      </c>
      <c r="D12" s="7" t="n">
        <v>45566</v>
      </c>
      <c r="E12" s="7" t="n">
        <v>47391</v>
      </c>
      <c r="F12" s="7" t="n">
        <v>45566</v>
      </c>
      <c r="G12" s="1" t="s">
        <v>81</v>
      </c>
      <c r="H12" s="1" t="s">
        <v>68</v>
      </c>
      <c r="I12" s="6" t="n">
        <v>200000</v>
      </c>
      <c r="J12" s="1" t="s">
        <v>69</v>
      </c>
      <c r="K12" s="6" t="n">
        <v>0</v>
      </c>
      <c r="L12" s="6" t="n">
        <v>0.05</v>
      </c>
      <c r="M12" s="7" t="n">
        <v>45931</v>
      </c>
      <c r="N12" s="1" t="s">
        <v>67</v>
      </c>
      <c r="O12" s="1" t="s">
        <v>70</v>
      </c>
      <c r="P12" s="1" t="n">
        <v>0.1</v>
      </c>
      <c r="Q12" s="6" t="n">
        <v>0</v>
      </c>
      <c r="R12" s="6" t="n">
        <v>0</v>
      </c>
      <c r="S12" s="6" t="n">
        <v>0</v>
      </c>
      <c r="T12" s="6" t="n">
        <v>0</v>
      </c>
      <c r="U12" s="1" t="n">
        <v>250000</v>
      </c>
      <c r="V12" s="7" t="n">
        <v>47391</v>
      </c>
      <c r="W12" s="6" t="n">
        <v>0.06</v>
      </c>
      <c r="X12" s="6" t="n">
        <v>0.012</v>
      </c>
      <c r="Y12" s="6" t="n">
        <v>0.03</v>
      </c>
      <c r="Z12" s="6" t="n">
        <v>0.6</v>
      </c>
      <c r="AA12" s="6" t="n">
        <v>1</v>
      </c>
      <c r="AB12" s="1" t="s">
        <v>95</v>
      </c>
      <c r="AC12" s="1" t="s">
        <v>96</v>
      </c>
      <c r="AD12" s="1" t="n">
        <v>400000</v>
      </c>
      <c r="AE12" s="7" t="n">
        <v>47391</v>
      </c>
      <c r="AF12" s="6" t="n">
        <v>0.09</v>
      </c>
      <c r="AG12" s="8" t="n">
        <f aca="false">IF(AD12&gt;0,IF(AE12&lt;=D12,"ERROR",AD12/(1+AF12)^((AE12-D12)/365)),S12)</f>
        <v>259972.554519338</v>
      </c>
      <c r="AH12" s="1" t="str">
        <f aca="false">IF(AD12&gt;0,"Calculated from future restoration cost",IF(S12&gt;0,"Legacy manual PV","No restoration provision"))</f>
        <v>Calculated from future restoration cost</v>
      </c>
      <c r="AI12" s="1" t="s">
        <v>73</v>
      </c>
      <c r="AJ12" s="3" t="n">
        <v>47391</v>
      </c>
    </row>
    <row r="13" customFormat="false" ht="15" hidden="false" customHeight="true" outlineLevel="0" collapsed="false">
      <c r="A13" s="1" t="s">
        <v>97</v>
      </c>
      <c r="B13" s="1" t="s">
        <v>66</v>
      </c>
      <c r="C13" s="7" t="n">
        <v>44927</v>
      </c>
      <c r="D13" s="7" t="n">
        <v>44927</v>
      </c>
      <c r="E13" s="7" t="n">
        <v>46752</v>
      </c>
      <c r="F13" s="7" t="n">
        <v>44927</v>
      </c>
      <c r="G13" s="1" t="s">
        <v>67</v>
      </c>
      <c r="H13" s="1" t="s">
        <v>76</v>
      </c>
      <c r="I13" s="6" t="n">
        <v>18000</v>
      </c>
      <c r="J13" s="1" t="s">
        <v>85</v>
      </c>
      <c r="K13" s="6" t="n">
        <v>0</v>
      </c>
      <c r="L13" s="6" t="n">
        <v>0</v>
      </c>
      <c r="M13" s="7"/>
      <c r="N13" s="1" t="s">
        <v>67</v>
      </c>
      <c r="O13" s="1" t="s">
        <v>98</v>
      </c>
      <c r="P13" s="1" t="n">
        <v>0.085</v>
      </c>
      <c r="Q13" s="6" t="n">
        <v>0</v>
      </c>
      <c r="R13" s="6" t="n">
        <v>0</v>
      </c>
      <c r="S13" s="6" t="n">
        <v>0</v>
      </c>
      <c r="T13" s="6" t="n">
        <v>0</v>
      </c>
      <c r="U13" s="1" t="n">
        <v>0</v>
      </c>
      <c r="V13" s="7" t="n">
        <v>46752</v>
      </c>
      <c r="W13" s="6" t="n">
        <v>0.04</v>
      </c>
      <c r="X13" s="6" t="n">
        <v>0.015</v>
      </c>
      <c r="Y13" s="6" t="n">
        <v>0.02</v>
      </c>
      <c r="Z13" s="6" t="n">
        <v>0.5</v>
      </c>
      <c r="AA13" s="6" t="n">
        <v>83.5</v>
      </c>
      <c r="AB13" s="1" t="s">
        <v>99</v>
      </c>
      <c r="AC13" s="1" t="s">
        <v>100</v>
      </c>
      <c r="AD13" s="1" t="n">
        <v>0</v>
      </c>
      <c r="AE13" s="7" t="n">
        <v>46752</v>
      </c>
      <c r="AF13" s="6" t="n">
        <v>0.07</v>
      </c>
      <c r="AG13" s="8" t="n">
        <f aca="false">IF(AD13&gt;0,IF(AE13&lt;=D13,"ERROR",AD13/(1+AF13)^((AE13-D13)/365)),S13)</f>
        <v>0</v>
      </c>
      <c r="AH13" s="1" t="str">
        <f aca="false">IF(AD13&gt;0,"Calculated from future restoration cost",IF(S13&gt;0,"Legacy manual PV","No restoration provision"))</f>
        <v>No restoration provision</v>
      </c>
      <c r="AI13" s="1" t="s">
        <v>73</v>
      </c>
      <c r="AJ13" s="3" t="n">
        <v>46752</v>
      </c>
    </row>
    <row r="14" customFormat="false" ht="15" hidden="false" customHeight="true" outlineLevel="0" collapsed="false">
      <c r="A14" s="1" t="s">
        <v>101</v>
      </c>
      <c r="B14" s="1" t="s">
        <v>66</v>
      </c>
      <c r="C14" s="7" t="n">
        <v>45809</v>
      </c>
      <c r="D14" s="7" t="n">
        <v>45809</v>
      </c>
      <c r="E14" s="7" t="n">
        <v>47269</v>
      </c>
      <c r="F14" s="7" t="n">
        <v>45839</v>
      </c>
      <c r="G14" s="1" t="s">
        <v>73</v>
      </c>
      <c r="H14" s="1" t="s">
        <v>68</v>
      </c>
      <c r="I14" s="6" t="n">
        <v>100000</v>
      </c>
      <c r="J14" s="1" t="s">
        <v>77</v>
      </c>
      <c r="K14" s="6" t="n">
        <v>10000</v>
      </c>
      <c r="L14" s="6" t="n">
        <v>0</v>
      </c>
      <c r="M14" s="7" t="n">
        <v>46539</v>
      </c>
      <c r="N14" s="1" t="s">
        <v>67</v>
      </c>
      <c r="O14" s="1" t="s">
        <v>70</v>
      </c>
      <c r="P14" s="1" t="n">
        <v>0.105</v>
      </c>
      <c r="Q14" s="6" t="n">
        <v>0</v>
      </c>
      <c r="R14" s="6" t="n">
        <v>0</v>
      </c>
      <c r="S14" s="6" t="n">
        <v>0</v>
      </c>
      <c r="T14" s="6" t="n">
        <v>50000</v>
      </c>
      <c r="U14" s="1" t="n">
        <v>100000</v>
      </c>
      <c r="V14" s="7" t="n">
        <v>47269</v>
      </c>
      <c r="W14" s="6" t="n">
        <v>0.06</v>
      </c>
      <c r="X14" s="6" t="n">
        <v>0.01</v>
      </c>
      <c r="Y14" s="6" t="n">
        <v>0.02</v>
      </c>
      <c r="Z14" s="6" t="n">
        <v>0.5</v>
      </c>
      <c r="AA14" s="6" t="n">
        <v>1</v>
      </c>
      <c r="AB14" s="1" t="s">
        <v>102</v>
      </c>
      <c r="AC14" s="1" t="s">
        <v>103</v>
      </c>
      <c r="AD14" s="1" t="n">
        <v>600000</v>
      </c>
      <c r="AE14" s="7" t="n">
        <v>47269</v>
      </c>
      <c r="AF14" s="6" t="n">
        <v>0.09</v>
      </c>
      <c r="AG14" s="8" t="n">
        <f aca="false">IF(AD14&gt;0,IF(AE14&lt;=D14,"ERROR",AD14/(1+AF14)^((AE14-D14)/365)),S14)</f>
        <v>425055.126639118</v>
      </c>
      <c r="AH14" s="1" t="str">
        <f aca="false">IF(AD14&gt;0,"Calculated from future restoration cost",IF(S14&gt;0,"Legacy manual PV","No restoration provision"))</f>
        <v>Calculated from future restoration cost</v>
      </c>
      <c r="AI14" s="1" t="s">
        <v>73</v>
      </c>
      <c r="AJ14" s="3" t="n">
        <v>47269</v>
      </c>
    </row>
    <row r="15" customFormat="false" ht="15" hidden="false" customHeight="true" outlineLevel="0" collapsed="false">
      <c r="A15" s="1" t="s">
        <v>104</v>
      </c>
      <c r="B15" s="1" t="s">
        <v>66</v>
      </c>
      <c r="C15" s="7" t="n">
        <v>45383</v>
      </c>
      <c r="D15" s="7" t="n">
        <v>45383</v>
      </c>
      <c r="E15" s="7" t="n">
        <v>47208</v>
      </c>
      <c r="F15" s="7" t="n">
        <v>45383</v>
      </c>
      <c r="G15" s="1" t="s">
        <v>75</v>
      </c>
      <c r="H15" s="1" t="s">
        <v>68</v>
      </c>
      <c r="I15" s="6" t="n">
        <v>500000</v>
      </c>
      <c r="J15" s="1" t="s">
        <v>69</v>
      </c>
      <c r="K15" s="6" t="n">
        <v>0</v>
      </c>
      <c r="L15" s="6" t="n">
        <v>0.03</v>
      </c>
      <c r="M15" s="7" t="n">
        <v>45748</v>
      </c>
      <c r="N15" s="1" t="s">
        <v>67</v>
      </c>
      <c r="O15" s="1" t="s">
        <v>70</v>
      </c>
      <c r="P15" s="1" t="n">
        <v>0.0925</v>
      </c>
      <c r="Q15" s="6" t="n">
        <v>0</v>
      </c>
      <c r="R15" s="6" t="n">
        <v>0</v>
      </c>
      <c r="S15" s="6" t="n">
        <v>0</v>
      </c>
      <c r="T15" s="6" t="n">
        <v>0</v>
      </c>
      <c r="U15" s="1" t="n">
        <v>200000</v>
      </c>
      <c r="V15" s="7" t="n">
        <v>47208</v>
      </c>
      <c r="W15" s="6" t="n">
        <v>0.06</v>
      </c>
      <c r="X15" s="6" t="n">
        <v>0.01</v>
      </c>
      <c r="Y15" s="6" t="n">
        <v>0.018</v>
      </c>
      <c r="Z15" s="6" t="n">
        <v>0.5</v>
      </c>
      <c r="AA15" s="6" t="n">
        <v>1</v>
      </c>
      <c r="AB15" s="1" t="s">
        <v>105</v>
      </c>
      <c r="AC15" s="1" t="s">
        <v>106</v>
      </c>
      <c r="AD15" s="1" t="n">
        <v>700000</v>
      </c>
      <c r="AE15" s="7" t="n">
        <v>47208</v>
      </c>
      <c r="AF15" s="6" t="n">
        <v>0.08</v>
      </c>
      <c r="AG15" s="8" t="n">
        <f aca="false">IF(AD15&gt;0,IF(AE15&lt;=D15,"ERROR",AD15/(1+AF15)^((AE15-D15)/365)),S15)</f>
        <v>476408.237923627</v>
      </c>
      <c r="AH15" s="1" t="str">
        <f aca="false">IF(AD15&gt;0,"Calculated from future restoration cost",IF(S15&gt;0,"Legacy manual PV","No restoration provision"))</f>
        <v>Calculated from future restoration cost</v>
      </c>
      <c r="AI15" s="1" t="s">
        <v>73</v>
      </c>
      <c r="AJ15" s="3" t="n">
        <v>47208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107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108</v>
      </c>
      <c r="C5" s="4" t="s">
        <v>109</v>
      </c>
      <c r="D5" s="4" t="s">
        <v>7</v>
      </c>
      <c r="E5" s="4" t="s">
        <v>110</v>
      </c>
      <c r="F5" s="4" t="s">
        <v>111</v>
      </c>
    </row>
    <row r="6" customFormat="false" ht="15" hidden="false" customHeight="true" outlineLevel="0" collapsed="false">
      <c r="A6" s="1" t="s">
        <v>65</v>
      </c>
      <c r="B6" s="7" t="n">
        <v>45017</v>
      </c>
      <c r="C6" s="1" t="s">
        <v>69</v>
      </c>
      <c r="D6" s="6" t="n">
        <v>0.05</v>
      </c>
      <c r="E6" s="1" t="n">
        <v>1</v>
      </c>
      <c r="F6" s="1" t="s">
        <v>112</v>
      </c>
    </row>
    <row r="7" customFormat="false" ht="15" hidden="false" customHeight="true" outlineLevel="0" collapsed="false">
      <c r="A7" s="1" t="s">
        <v>65</v>
      </c>
      <c r="B7" s="7" t="n">
        <v>45383</v>
      </c>
      <c r="C7" s="1" t="s">
        <v>69</v>
      </c>
      <c r="D7" s="6" t="n">
        <v>0.05</v>
      </c>
      <c r="E7" s="1" t="n">
        <v>2</v>
      </c>
      <c r="F7" s="1" t="s">
        <v>112</v>
      </c>
    </row>
    <row r="8" customFormat="false" ht="15" hidden="false" customHeight="true" outlineLevel="0" collapsed="false">
      <c r="A8" s="1" t="s">
        <v>65</v>
      </c>
      <c r="B8" s="7" t="n">
        <v>45748</v>
      </c>
      <c r="C8" s="1" t="s">
        <v>69</v>
      </c>
      <c r="D8" s="6" t="n">
        <v>0.05</v>
      </c>
      <c r="E8" s="1" t="n">
        <v>3</v>
      </c>
      <c r="F8" s="1" t="s">
        <v>112</v>
      </c>
    </row>
    <row r="9" customFormat="false" ht="15" hidden="false" customHeight="true" outlineLevel="0" collapsed="false">
      <c r="A9" s="1" t="s">
        <v>65</v>
      </c>
      <c r="B9" s="7" t="n">
        <v>46113</v>
      </c>
      <c r="C9" s="1" t="s">
        <v>69</v>
      </c>
      <c r="D9" s="6" t="n">
        <v>0.05</v>
      </c>
      <c r="E9" s="1" t="n">
        <v>4</v>
      </c>
      <c r="F9" s="1" t="s">
        <v>112</v>
      </c>
    </row>
    <row r="10" customFormat="false" ht="15" hidden="false" customHeight="true" outlineLevel="0" collapsed="false">
      <c r="A10" s="1" t="s">
        <v>74</v>
      </c>
      <c r="B10" s="7" t="n">
        <v>45658</v>
      </c>
      <c r="C10" s="1" t="s">
        <v>77</v>
      </c>
      <c r="D10" s="6" t="n">
        <v>25000</v>
      </c>
      <c r="E10" s="1" t="n">
        <v>1</v>
      </c>
      <c r="F10" s="1" t="s">
        <v>112</v>
      </c>
    </row>
    <row r="11" customFormat="false" ht="15" hidden="false" customHeight="true" outlineLevel="0" collapsed="false">
      <c r="A11" s="1" t="s">
        <v>74</v>
      </c>
      <c r="B11" s="7" t="n">
        <v>46023</v>
      </c>
      <c r="C11" s="1" t="s">
        <v>77</v>
      </c>
      <c r="D11" s="6" t="n">
        <v>25000</v>
      </c>
      <c r="E11" s="1" t="n">
        <v>2</v>
      </c>
      <c r="F11" s="1" t="s">
        <v>112</v>
      </c>
    </row>
    <row r="12" customFormat="false" ht="15" hidden="false" customHeight="true" outlineLevel="0" collapsed="false">
      <c r="A12" s="1" t="s">
        <v>74</v>
      </c>
      <c r="B12" s="7" t="n">
        <v>46388</v>
      </c>
      <c r="C12" s="1" t="s">
        <v>77</v>
      </c>
      <c r="D12" s="6" t="n">
        <v>25000</v>
      </c>
      <c r="E12" s="1" t="n">
        <v>3</v>
      </c>
      <c r="F12" s="1" t="s">
        <v>112</v>
      </c>
    </row>
    <row r="13" customFormat="false" ht="15" hidden="false" customHeight="true" outlineLevel="0" collapsed="false">
      <c r="A13" s="1" t="s">
        <v>74</v>
      </c>
      <c r="B13" s="7" t="n">
        <v>46753</v>
      </c>
      <c r="C13" s="1" t="s">
        <v>77</v>
      </c>
      <c r="D13" s="6" t="n">
        <v>25000</v>
      </c>
      <c r="E13" s="1" t="n">
        <v>4</v>
      </c>
      <c r="F13" s="1" t="s">
        <v>112</v>
      </c>
    </row>
    <row r="14" customFormat="false" ht="15" hidden="false" customHeight="true" outlineLevel="0" collapsed="false">
      <c r="A14" s="1" t="s">
        <v>80</v>
      </c>
      <c r="B14" s="7" t="n">
        <v>46478</v>
      </c>
      <c r="C14" s="1" t="s">
        <v>69</v>
      </c>
      <c r="D14" s="6" t="n">
        <v>0.05</v>
      </c>
      <c r="E14" s="1" t="n">
        <v>1</v>
      </c>
      <c r="F14" s="1" t="s">
        <v>112</v>
      </c>
    </row>
    <row r="15" customFormat="false" ht="15" hidden="false" customHeight="true" outlineLevel="0" collapsed="false">
      <c r="A15" s="1" t="s">
        <v>80</v>
      </c>
      <c r="B15" s="7" t="n">
        <v>46844</v>
      </c>
      <c r="C15" s="1" t="s">
        <v>69</v>
      </c>
      <c r="D15" s="6" t="n">
        <v>0.05</v>
      </c>
      <c r="E15" s="1" t="n">
        <v>2</v>
      </c>
      <c r="F15" s="1" t="s">
        <v>112</v>
      </c>
    </row>
    <row r="16" customFormat="false" ht="15" hidden="false" customHeight="true" outlineLevel="0" collapsed="false">
      <c r="A16" s="1" t="s">
        <v>80</v>
      </c>
      <c r="B16" s="7" t="n">
        <v>47209</v>
      </c>
      <c r="C16" s="1" t="s">
        <v>69</v>
      </c>
      <c r="D16" s="6" t="n">
        <v>0.05</v>
      </c>
      <c r="E16" s="1" t="n">
        <v>3</v>
      </c>
      <c r="F16" s="1" t="s">
        <v>112</v>
      </c>
    </row>
    <row r="17" customFormat="false" ht="15" hidden="false" customHeight="true" outlineLevel="0" collapsed="false">
      <c r="A17" s="1" t="s">
        <v>80</v>
      </c>
      <c r="B17" s="7" t="n">
        <v>47574</v>
      </c>
      <c r="C17" s="1" t="s">
        <v>69</v>
      </c>
      <c r="D17" s="6" t="n">
        <v>0.05</v>
      </c>
      <c r="E17" s="1" t="n">
        <v>4</v>
      </c>
      <c r="F17" s="1" t="s">
        <v>112</v>
      </c>
    </row>
    <row r="18" customFormat="false" ht="15" hidden="false" customHeight="true" outlineLevel="0" collapsed="false">
      <c r="A18" s="1" t="s">
        <v>88</v>
      </c>
      <c r="B18" s="7" t="n">
        <v>45474</v>
      </c>
      <c r="C18" s="1" t="s">
        <v>69</v>
      </c>
      <c r="D18" s="6" t="n">
        <v>0.04</v>
      </c>
      <c r="E18" s="1" t="n">
        <v>1</v>
      </c>
      <c r="F18" s="1" t="s">
        <v>112</v>
      </c>
    </row>
    <row r="19" customFormat="false" ht="15" hidden="false" customHeight="true" outlineLevel="0" collapsed="false">
      <c r="A19" s="1" t="s">
        <v>88</v>
      </c>
      <c r="B19" s="7" t="n">
        <v>45839</v>
      </c>
      <c r="C19" s="1" t="s">
        <v>69</v>
      </c>
      <c r="D19" s="6" t="n">
        <v>0.04</v>
      </c>
      <c r="E19" s="1" t="n">
        <v>2</v>
      </c>
      <c r="F19" s="1" t="s">
        <v>112</v>
      </c>
    </row>
    <row r="20" customFormat="false" ht="15" hidden="false" customHeight="true" outlineLevel="0" collapsed="false">
      <c r="A20" s="1" t="s">
        <v>88</v>
      </c>
      <c r="B20" s="7" t="n">
        <v>46204</v>
      </c>
      <c r="C20" s="1" t="s">
        <v>113</v>
      </c>
      <c r="D20" s="6" t="n">
        <v>330000</v>
      </c>
      <c r="E20" s="1" t="n">
        <v>3</v>
      </c>
      <c r="F20" s="1" t="s">
        <v>112</v>
      </c>
    </row>
    <row r="21" customFormat="false" ht="15" hidden="false" customHeight="true" outlineLevel="0" collapsed="false">
      <c r="A21" s="1" t="s">
        <v>88</v>
      </c>
      <c r="B21" s="7" t="n">
        <v>46569</v>
      </c>
      <c r="C21" s="1" t="s">
        <v>69</v>
      </c>
      <c r="D21" s="6" t="n">
        <v>0.04</v>
      </c>
      <c r="E21" s="1" t="n">
        <v>4</v>
      </c>
      <c r="F21" s="1" t="s">
        <v>112</v>
      </c>
    </row>
    <row r="22" customFormat="false" ht="15" hidden="false" customHeight="true" outlineLevel="0" collapsed="false">
      <c r="A22" s="1" t="s">
        <v>91</v>
      </c>
      <c r="B22" s="7" t="n">
        <v>46569</v>
      </c>
      <c r="C22" s="1" t="s">
        <v>69</v>
      </c>
      <c r="D22" s="6" t="n">
        <v>0.03</v>
      </c>
      <c r="E22" s="1" t="n">
        <v>1</v>
      </c>
      <c r="F22" s="1" t="s">
        <v>112</v>
      </c>
    </row>
    <row r="23" customFormat="false" ht="15" hidden="false" customHeight="true" outlineLevel="0" collapsed="false">
      <c r="A23" s="1" t="s">
        <v>91</v>
      </c>
      <c r="B23" s="7" t="n">
        <v>46935</v>
      </c>
      <c r="C23" s="1" t="s">
        <v>69</v>
      </c>
      <c r="D23" s="6" t="n">
        <v>0.03</v>
      </c>
      <c r="E23" s="1" t="n">
        <v>2</v>
      </c>
      <c r="F23" s="1" t="s">
        <v>112</v>
      </c>
    </row>
    <row r="24" customFormat="false" ht="15" hidden="false" customHeight="true" outlineLevel="0" collapsed="false">
      <c r="A24" s="1" t="s">
        <v>91</v>
      </c>
      <c r="B24" s="7" t="n">
        <v>47300</v>
      </c>
      <c r="C24" s="1" t="s">
        <v>69</v>
      </c>
      <c r="D24" s="6" t="n">
        <v>0.03</v>
      </c>
      <c r="E24" s="1" t="n">
        <v>3</v>
      </c>
      <c r="F24" s="1" t="s">
        <v>112</v>
      </c>
    </row>
    <row r="25" customFormat="false" ht="15" hidden="false" customHeight="true" outlineLevel="0" collapsed="false">
      <c r="A25" s="1" t="s">
        <v>94</v>
      </c>
      <c r="B25" s="7" t="n">
        <v>45931</v>
      </c>
      <c r="C25" s="1" t="s">
        <v>69</v>
      </c>
      <c r="D25" s="6" t="n">
        <v>0.05</v>
      </c>
      <c r="E25" s="1" t="n">
        <v>1</v>
      </c>
      <c r="F25" s="1" t="s">
        <v>112</v>
      </c>
    </row>
    <row r="26" customFormat="false" ht="15" hidden="false" customHeight="true" outlineLevel="0" collapsed="false">
      <c r="A26" s="1" t="s">
        <v>94</v>
      </c>
      <c r="B26" s="7" t="n">
        <v>46023</v>
      </c>
      <c r="C26" s="1" t="s">
        <v>113</v>
      </c>
      <c r="D26" s="6" t="n">
        <v>240000</v>
      </c>
      <c r="E26" s="1" t="n">
        <v>2</v>
      </c>
      <c r="F26" s="1" t="s">
        <v>112</v>
      </c>
    </row>
    <row r="27" customFormat="false" ht="15" hidden="false" customHeight="true" outlineLevel="0" collapsed="false">
      <c r="A27" s="1" t="s">
        <v>94</v>
      </c>
      <c r="B27" s="7" t="n">
        <v>46388</v>
      </c>
      <c r="C27" s="1" t="s">
        <v>69</v>
      </c>
      <c r="D27" s="6" t="n">
        <v>0.05</v>
      </c>
      <c r="E27" s="1" t="n">
        <v>3</v>
      </c>
      <c r="F27" s="1" t="s">
        <v>112</v>
      </c>
    </row>
    <row r="28" customFormat="false" ht="15" hidden="false" customHeight="true" outlineLevel="0" collapsed="false">
      <c r="A28" s="1" t="s">
        <v>94</v>
      </c>
      <c r="B28" s="7" t="n">
        <v>46753</v>
      </c>
      <c r="C28" s="1" t="s">
        <v>69</v>
      </c>
      <c r="D28" s="6" t="n">
        <v>0.05</v>
      </c>
      <c r="E28" s="1" t="n">
        <v>4</v>
      </c>
      <c r="F28" s="1" t="s">
        <v>112</v>
      </c>
    </row>
    <row r="29" customFormat="false" ht="15" hidden="false" customHeight="true" outlineLevel="0" collapsed="false">
      <c r="A29" s="1" t="s">
        <v>94</v>
      </c>
      <c r="B29" s="7" t="n">
        <v>47119</v>
      </c>
      <c r="C29" s="1" t="s">
        <v>69</v>
      </c>
      <c r="D29" s="6" t="n">
        <v>0.05</v>
      </c>
      <c r="E29" s="1" t="n">
        <v>5</v>
      </c>
      <c r="F29" s="1" t="s">
        <v>112</v>
      </c>
    </row>
    <row r="30" customFormat="false" ht="15" hidden="false" customHeight="true" outlineLevel="0" collapsed="false">
      <c r="A30" s="1" t="s">
        <v>101</v>
      </c>
      <c r="B30" s="7" t="n">
        <v>46174</v>
      </c>
      <c r="C30" s="1" t="s">
        <v>113</v>
      </c>
      <c r="D30" s="6" t="n">
        <v>115000</v>
      </c>
      <c r="E30" s="1" t="n">
        <v>1</v>
      </c>
      <c r="F30" s="1" t="s">
        <v>112</v>
      </c>
    </row>
    <row r="31" customFormat="false" ht="15" hidden="false" customHeight="true" outlineLevel="0" collapsed="false">
      <c r="A31" s="1" t="s">
        <v>101</v>
      </c>
      <c r="B31" s="7" t="n">
        <v>46539</v>
      </c>
      <c r="C31" s="1" t="s">
        <v>77</v>
      </c>
      <c r="D31" s="6" t="n">
        <v>10000</v>
      </c>
      <c r="E31" s="1" t="n">
        <v>2</v>
      </c>
      <c r="F31" s="1" t="s">
        <v>112</v>
      </c>
    </row>
    <row r="32" customFormat="false" ht="15" hidden="false" customHeight="true" outlineLevel="0" collapsed="false">
      <c r="A32" s="1" t="s">
        <v>104</v>
      </c>
      <c r="B32" s="7" t="n">
        <v>45748</v>
      </c>
      <c r="C32" s="1" t="s">
        <v>69</v>
      </c>
      <c r="D32" s="6" t="n">
        <v>0.03</v>
      </c>
      <c r="E32" s="1" t="n">
        <v>1</v>
      </c>
      <c r="F32" s="1" t="s">
        <v>112</v>
      </c>
    </row>
    <row r="33" customFormat="false" ht="15" hidden="false" customHeight="true" outlineLevel="0" collapsed="false">
      <c r="A33" s="1" t="s">
        <v>104</v>
      </c>
      <c r="B33" s="7" t="n">
        <v>46113</v>
      </c>
      <c r="C33" s="1" t="s">
        <v>69</v>
      </c>
      <c r="D33" s="6" t="n">
        <v>0.03</v>
      </c>
      <c r="E33" s="1" t="n">
        <v>2</v>
      </c>
      <c r="F33" s="1" t="s">
        <v>112</v>
      </c>
    </row>
    <row r="34" customFormat="false" ht="15" hidden="false" customHeight="true" outlineLevel="0" collapsed="false">
      <c r="A34" s="1" t="s">
        <v>104</v>
      </c>
      <c r="B34" s="7" t="n">
        <v>46478</v>
      </c>
      <c r="C34" s="1" t="s">
        <v>69</v>
      </c>
      <c r="D34" s="6" t="n">
        <v>0.03</v>
      </c>
      <c r="E34" s="1" t="n">
        <v>3</v>
      </c>
      <c r="F34" s="1" t="s">
        <v>112</v>
      </c>
    </row>
    <row r="35" customFormat="false" ht="15" hidden="false" customHeight="true" outlineLevel="0" collapsed="false">
      <c r="A35" s="1" t="s">
        <v>104</v>
      </c>
      <c r="B35" s="7" t="n">
        <v>46844</v>
      </c>
      <c r="C35" s="1" t="s">
        <v>69</v>
      </c>
      <c r="D35" s="6" t="n">
        <v>0.03</v>
      </c>
      <c r="E35" s="1" t="n">
        <v>4</v>
      </c>
      <c r="F35" s="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5"/>
    <col collapsed="false" customWidth="true" hidden="false" outlineLevel="0" max="6" min="6" style="1" width="24"/>
    <col collapsed="false" customWidth="true" hidden="false" outlineLevel="0" max="7" min="7" style="1" width="31"/>
    <col collapsed="false" customWidth="true" hidden="false" outlineLevel="0" max="8" min="8" style="1" width="25"/>
    <col collapsed="false" customWidth="true" hidden="false" outlineLevel="0" max="9" min="9" style="1" width="26"/>
    <col collapsed="false" customWidth="true" hidden="false" outlineLevel="0" max="10" min="10" style="1" width="34"/>
    <col collapsed="false" customWidth="true" hidden="false" outlineLevel="0" max="11" min="11" style="1" width="28"/>
    <col collapsed="false" customWidth="true" hidden="false" outlineLevel="0" max="12" min="12" style="1" width="36"/>
    <col collapsed="false" customWidth="true" hidden="false" outlineLevel="0" max="13" min="13" style="1" width="15"/>
  </cols>
  <sheetData>
    <row r="1" customFormat="false" ht="17.25" hidden="false" customHeight="true" outlineLevel="0" collapsed="false">
      <c r="A1" s="2" t="s">
        <v>114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115</v>
      </c>
      <c r="C5" s="4" t="s">
        <v>116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44</v>
      </c>
      <c r="J5" s="4" t="s">
        <v>122</v>
      </c>
      <c r="K5" s="4" t="s">
        <v>123</v>
      </c>
      <c r="L5" s="4" t="s">
        <v>124</v>
      </c>
      <c r="M5" s="4" t="s">
        <v>125</v>
      </c>
    </row>
    <row r="6" customFormat="false" ht="15" hidden="false" customHeight="true" outlineLevel="0" collapsed="false">
      <c r="A6" s="1" t="s">
        <v>65</v>
      </c>
      <c r="B6" s="1" t="n">
        <v>0</v>
      </c>
      <c r="C6" s="1" t="n">
        <v>1</v>
      </c>
      <c r="D6" s="7" t="n">
        <v>44652</v>
      </c>
      <c r="E6" s="6" t="n">
        <f aca="false">((01_Lease_Master!$I$6)*EXP(IF(D6&gt;=20_Escalation_Schedule!$B$6,LN(1+20_Escalation_Schedule!$D$6),0)+IF(D6&gt;=20_Escalation_Schedule!$B$7,LN(1+20_Escalation_Schedule!$D$7),0)+IF(D6&gt;=20_Escalation_Schedule!$B$8,LN(1+20_Escalation_Schedule!$D$8),0)+IF(D6&gt;=20_Escalation_Schedule!$B$9,LN(1+20_Escalation_Schedule!$D$9),0)))</f>
        <v>1200000</v>
      </c>
      <c r="F6" s="1" t="s">
        <v>126</v>
      </c>
      <c r="G6" s="1" t="n">
        <f aca="false">D6-01_Lease_Master!$D$6</f>
        <v>0</v>
      </c>
      <c r="H6" s="1" t="n">
        <f aca="false">G6/365</f>
        <v>0</v>
      </c>
      <c r="I6" s="1" t="n">
        <f aca="false">01_Lease_Master!$P$6</f>
        <v>0.09</v>
      </c>
      <c r="J6" s="1" t="n">
        <f aca="false">IF(F6="NO",1,1/(1+I6)^H6)</f>
        <v>1</v>
      </c>
      <c r="K6" s="6" t="n">
        <f aca="false">IF(F6="NO",0,E6*J6)</f>
        <v>1200000</v>
      </c>
      <c r="L6" s="1" t="str">
        <f aca="false">IF(ABS(E6-E6)&lt;=01_Lease_Master!$AI$6,"PASS","CHECK")</f>
        <v>PASS</v>
      </c>
      <c r="M6" s="1" t="s">
        <v>126</v>
      </c>
    </row>
    <row r="7" customFormat="false" ht="15" hidden="false" customHeight="true" outlineLevel="0" collapsed="false">
      <c r="A7" s="1" t="s">
        <v>65</v>
      </c>
      <c r="B7" s="1" t="n">
        <v>0</v>
      </c>
      <c r="C7" s="1" t="n">
        <v>2</v>
      </c>
      <c r="D7" s="7" t="n">
        <v>45017</v>
      </c>
      <c r="E7" s="6" t="n">
        <f aca="false">((01_Lease_Master!$I$6)*EXP(IF(D7&gt;=20_Escalation_Schedule!$B$6,LN(1+20_Escalation_Schedule!$D$6),0)+IF(D7&gt;=20_Escalation_Schedule!$B$7,LN(1+20_Escalation_Schedule!$D$7),0)+IF(D7&gt;=20_Escalation_Schedule!$B$8,LN(1+20_Escalation_Schedule!$D$8),0)+IF(D7&gt;=20_Escalation_Schedule!$B$9,LN(1+20_Escalation_Schedule!$D$9),0)))</f>
        <v>1260000</v>
      </c>
      <c r="F7" s="1" t="s">
        <v>126</v>
      </c>
      <c r="G7" s="1" t="n">
        <f aca="false">D7-01_Lease_Master!$D$6</f>
        <v>365</v>
      </c>
      <c r="H7" s="1" t="n">
        <f aca="false">G7/365</f>
        <v>1</v>
      </c>
      <c r="I7" s="1" t="n">
        <f aca="false">01_Lease_Master!$P$6</f>
        <v>0.09</v>
      </c>
      <c r="J7" s="1" t="n">
        <f aca="false">IF(F7="NO",1,1/(1+I7)^H7)</f>
        <v>0.91743119266055</v>
      </c>
      <c r="K7" s="6" t="n">
        <f aca="false">IF(F7="NO",0,E7*J7)</f>
        <v>1155963.30275229</v>
      </c>
      <c r="L7" s="1" t="str">
        <f aca="false">IF(ABS(E7-E7)&lt;=01_Lease_Master!$AI$6,"PASS","CHECK")</f>
        <v>PASS</v>
      </c>
      <c r="M7" s="1" t="s">
        <v>126</v>
      </c>
    </row>
    <row r="8" customFormat="false" ht="15" hidden="false" customHeight="true" outlineLevel="0" collapsed="false">
      <c r="A8" s="1" t="s">
        <v>65</v>
      </c>
      <c r="B8" s="1" t="n">
        <v>0</v>
      </c>
      <c r="C8" s="1" t="n">
        <v>3</v>
      </c>
      <c r="D8" s="7" t="n">
        <v>45383</v>
      </c>
      <c r="E8" s="6" t="n">
        <f aca="false">((01_Lease_Master!$I$6)*EXP(IF(D8&gt;=20_Escalation_Schedule!$B$6,LN(1+20_Escalation_Schedule!$D$6),0)+IF(D8&gt;=20_Escalation_Schedule!$B$7,LN(1+20_Escalation_Schedule!$D$7),0)+IF(D8&gt;=20_Escalation_Schedule!$B$8,LN(1+20_Escalation_Schedule!$D$8),0)+IF(D8&gt;=20_Escalation_Schedule!$B$9,LN(1+20_Escalation_Schedule!$D$9),0)))</f>
        <v>1323000</v>
      </c>
      <c r="F8" s="1" t="s">
        <v>126</v>
      </c>
      <c r="G8" s="1" t="n">
        <f aca="false">D8-01_Lease_Master!$D$6</f>
        <v>731</v>
      </c>
      <c r="H8" s="1" t="n">
        <f aca="false">G8/365</f>
        <v>2.0027397260274</v>
      </c>
      <c r="I8" s="1" t="n">
        <f aca="false">01_Lease_Master!$P$6</f>
        <v>0.09</v>
      </c>
      <c r="J8" s="1" t="n">
        <f aca="false">IF(F8="NO",1,1/(1+I8)^H8)</f>
        <v>0.841481293319428</v>
      </c>
      <c r="K8" s="6" t="n">
        <f aca="false">IF(F8="NO",0,E8*J8)</f>
        <v>1113279.7510616</v>
      </c>
      <c r="L8" s="1" t="str">
        <f aca="false">IF(ABS(E8-E8)&lt;=01_Lease_Master!$AI$6,"PASS","CHECK")</f>
        <v>PASS</v>
      </c>
      <c r="M8" s="1" t="s">
        <v>126</v>
      </c>
    </row>
    <row r="9" customFormat="false" ht="15" hidden="false" customHeight="true" outlineLevel="0" collapsed="false">
      <c r="A9" s="1" t="s">
        <v>65</v>
      </c>
      <c r="B9" s="1" t="n">
        <v>0</v>
      </c>
      <c r="C9" s="1" t="n">
        <v>4</v>
      </c>
      <c r="D9" s="7" t="n">
        <v>45748</v>
      </c>
      <c r="E9" s="6" t="n">
        <f aca="false">((01_Lease_Master!$I$6)*EXP(IF(D9&gt;=20_Escalation_Schedule!$B$6,LN(1+20_Escalation_Schedule!$D$6),0)+IF(D9&gt;=20_Escalation_Schedule!$B$7,LN(1+20_Escalation_Schedule!$D$7),0)+IF(D9&gt;=20_Escalation_Schedule!$B$8,LN(1+20_Escalation_Schedule!$D$8),0)+IF(D9&gt;=20_Escalation_Schedule!$B$9,LN(1+20_Escalation_Schedule!$D$9),0)))</f>
        <v>1389150</v>
      </c>
      <c r="F9" s="1" t="s">
        <v>126</v>
      </c>
      <c r="G9" s="1" t="n">
        <f aca="false">D9-01_Lease_Master!$D$6</f>
        <v>1096</v>
      </c>
      <c r="H9" s="1" t="n">
        <f aca="false">G9/365</f>
        <v>3.0027397260274</v>
      </c>
      <c r="I9" s="1" t="n">
        <f aca="false">01_Lease_Master!$P$6</f>
        <v>0.09</v>
      </c>
      <c r="J9" s="1" t="n">
        <f aca="false">IF(F9="NO",1,1/(1+I9)^H9)</f>
        <v>0.772001186531585</v>
      </c>
      <c r="K9" s="6" t="n">
        <f aca="false">IF(F9="NO",0,E9*J9)</f>
        <v>1072425.44827035</v>
      </c>
      <c r="L9" s="1" t="str">
        <f aca="false">IF(ABS(E9-E9)&lt;=01_Lease_Master!$AI$6,"PASS","CHECK")</f>
        <v>PASS</v>
      </c>
      <c r="M9" s="1" t="s">
        <v>126</v>
      </c>
    </row>
    <row r="10" customFormat="false" ht="15" hidden="false" customHeight="true" outlineLevel="0" collapsed="false">
      <c r="A10" s="1" t="s">
        <v>65</v>
      </c>
      <c r="B10" s="1" t="n">
        <v>0</v>
      </c>
      <c r="C10" s="1" t="n">
        <v>5</v>
      </c>
      <c r="D10" s="7" t="n">
        <v>46113</v>
      </c>
      <c r="E10" s="6" t="n">
        <f aca="false">((01_Lease_Master!$I$6)*EXP(IF(D10&gt;=20_Escalation_Schedule!$B$6,LN(1+20_Escalation_Schedule!$D$6),0)+IF(D10&gt;=20_Escalation_Schedule!$B$7,LN(1+20_Escalation_Schedule!$D$7),0)+IF(D10&gt;=20_Escalation_Schedule!$B$8,LN(1+20_Escalation_Schedule!$D$8),0)+IF(D10&gt;=20_Escalation_Schedule!$B$9,LN(1+20_Escalation_Schedule!$D$9),0)))</f>
        <v>1458607.5</v>
      </c>
      <c r="F10" s="1" t="s">
        <v>126</v>
      </c>
      <c r="G10" s="1" t="n">
        <f aca="false">D10-01_Lease_Master!$D$6</f>
        <v>1461</v>
      </c>
      <c r="H10" s="1" t="n">
        <f aca="false">G10/365</f>
        <v>4.0027397260274</v>
      </c>
      <c r="I10" s="1" t="n">
        <f aca="false">01_Lease_Master!$P$6</f>
        <v>0.09</v>
      </c>
      <c r="J10" s="1" t="n">
        <f aca="false">IF(F10="NO",1,1/(1+I10)^H10)</f>
        <v>0.708257969295032</v>
      </c>
      <c r="K10" s="6" t="n">
        <f aca="false">IF(F10="NO",0,E10*J10)</f>
        <v>1033070.3859485</v>
      </c>
      <c r="L10" s="1" t="str">
        <f aca="false">IF(ABS(E10-E10)&lt;=01_Lease_Master!$AI$6,"PASS","CHECK")</f>
        <v>PASS</v>
      </c>
      <c r="M10" s="1" t="s">
        <v>126</v>
      </c>
    </row>
    <row r="11" customFormat="false" ht="15" hidden="false" customHeight="true" outlineLevel="0" collapsed="false">
      <c r="A11" s="1" t="s">
        <v>74</v>
      </c>
      <c r="B11" s="1" t="n">
        <v>0</v>
      </c>
      <c r="C11" s="1" t="n">
        <v>1</v>
      </c>
      <c r="D11" s="7" t="n">
        <v>45292</v>
      </c>
      <c r="E11" s="6" t="n">
        <f aca="false">((01_Lease_Master!$I$7)*EXP(0)+IF(D11&gt;=20_Escalation_Schedule!$B$10,20_Escalation_Schedule!$D$10*EXP(0),0)+IF(D11&gt;=20_Escalation_Schedule!$B$11,20_Escalation_Schedule!$D$11*EXP(0),0)+IF(D11&gt;=20_Escalation_Schedule!$B$12,20_Escalation_Schedule!$D$12*EXP(0),0)+IF(D11&gt;=20_Escalation_Schedule!$B$13,20_Escalation_Schedule!$D$13*EXP(0),0))</f>
        <v>450000</v>
      </c>
      <c r="F11" s="1" t="s">
        <v>127</v>
      </c>
      <c r="G11" s="1" t="n">
        <f aca="false">D11-01_Lease_Master!$D$7</f>
        <v>0</v>
      </c>
      <c r="H11" s="1" t="n">
        <f aca="false">G11/365</f>
        <v>0</v>
      </c>
      <c r="I11" s="1" t="n">
        <f aca="false">01_Lease_Master!$P$7</f>
        <v>0.1</v>
      </c>
      <c r="J11" s="1" t="n">
        <f aca="false">IF(F11="NO",1,1/(1+I11)^H11)</f>
        <v>1</v>
      </c>
      <c r="K11" s="6" t="n">
        <f aca="false">IF(F11="NO",0,E11*J11)</f>
        <v>0</v>
      </c>
      <c r="L11" s="1" t="str">
        <f aca="false">IF(ABS(E11-E11)&lt;=01_Lease_Master!$AI$7,"PASS","CHECK")</f>
        <v>PASS</v>
      </c>
      <c r="M11" s="1" t="s">
        <v>126</v>
      </c>
    </row>
    <row r="12" customFormat="false" ht="15" hidden="false" customHeight="true" outlineLevel="0" collapsed="false">
      <c r="A12" s="1" t="s">
        <v>74</v>
      </c>
      <c r="B12" s="1" t="n">
        <v>0</v>
      </c>
      <c r="C12" s="1" t="n">
        <v>2</v>
      </c>
      <c r="D12" s="7" t="n">
        <v>45383</v>
      </c>
      <c r="E12" s="6" t="n">
        <f aca="false">((01_Lease_Master!$I$7)*EXP(0)+IF(D12&gt;=20_Escalation_Schedule!$B$10,20_Escalation_Schedule!$D$10*EXP(0),0)+IF(D12&gt;=20_Escalation_Schedule!$B$11,20_Escalation_Schedule!$D$11*EXP(0),0)+IF(D12&gt;=20_Escalation_Schedule!$B$12,20_Escalation_Schedule!$D$12*EXP(0),0)+IF(D12&gt;=20_Escalation_Schedule!$B$13,20_Escalation_Schedule!$D$13*EXP(0),0))</f>
        <v>450000</v>
      </c>
      <c r="F12" s="1" t="s">
        <v>126</v>
      </c>
      <c r="G12" s="1" t="n">
        <f aca="false">D12-01_Lease_Master!$D$7</f>
        <v>91</v>
      </c>
      <c r="H12" s="1" t="n">
        <f aca="false">G12/365</f>
        <v>0.249315068493151</v>
      </c>
      <c r="I12" s="1" t="n">
        <f aca="false">01_Lease_Master!$P$7</f>
        <v>0.1</v>
      </c>
      <c r="J12" s="1" t="n">
        <f aca="false">IF(F12="NO",1,1/(1+I12)^H12)</f>
        <v>0.976517835602778</v>
      </c>
      <c r="K12" s="6" t="n">
        <f aca="false">IF(F12="NO",0,E12*J12)</f>
        <v>439433.02602125</v>
      </c>
      <c r="L12" s="1" t="str">
        <f aca="false">IF(ABS(E12-E12)&lt;=01_Lease_Master!$AI$7,"PASS","CHECK")</f>
        <v>PASS</v>
      </c>
      <c r="M12" s="1" t="s">
        <v>126</v>
      </c>
    </row>
    <row r="13" customFormat="false" ht="15" hidden="false" customHeight="true" outlineLevel="0" collapsed="false">
      <c r="A13" s="1" t="s">
        <v>74</v>
      </c>
      <c r="B13" s="1" t="n">
        <v>0</v>
      </c>
      <c r="C13" s="1" t="n">
        <v>3</v>
      </c>
      <c r="D13" s="7" t="n">
        <v>45474</v>
      </c>
      <c r="E13" s="6" t="n">
        <f aca="false">((01_Lease_Master!$I$7)*EXP(0)+IF(D13&gt;=20_Escalation_Schedule!$B$10,20_Escalation_Schedule!$D$10*EXP(0),0)+IF(D13&gt;=20_Escalation_Schedule!$B$11,20_Escalation_Schedule!$D$11*EXP(0),0)+IF(D13&gt;=20_Escalation_Schedule!$B$12,20_Escalation_Schedule!$D$12*EXP(0),0)+IF(D13&gt;=20_Escalation_Schedule!$B$13,20_Escalation_Schedule!$D$13*EXP(0),0))</f>
        <v>450000</v>
      </c>
      <c r="F13" s="1" t="s">
        <v>126</v>
      </c>
      <c r="G13" s="1" t="n">
        <f aca="false">D13-01_Lease_Master!$D$7</f>
        <v>182</v>
      </c>
      <c r="H13" s="1" t="n">
        <f aca="false">G13/365</f>
        <v>0.498630136986301</v>
      </c>
      <c r="I13" s="1" t="n">
        <f aca="false">01_Lease_Master!$P$7</f>
        <v>0.1</v>
      </c>
      <c r="J13" s="1" t="n">
        <f aca="false">IF(F13="NO",1,1/(1+I13)^H13)</f>
        <v>0.953587083250334</v>
      </c>
      <c r="K13" s="6" t="n">
        <f aca="false">IF(F13="NO",0,E13*J13)</f>
        <v>429114.18746265</v>
      </c>
      <c r="L13" s="1" t="str">
        <f aca="false">IF(ABS(E13-E13)&lt;=01_Lease_Master!$AI$7,"PASS","CHECK")</f>
        <v>PASS</v>
      </c>
      <c r="M13" s="1" t="s">
        <v>126</v>
      </c>
    </row>
    <row r="14" customFormat="false" ht="15" hidden="false" customHeight="true" outlineLevel="0" collapsed="false">
      <c r="A14" s="1" t="s">
        <v>74</v>
      </c>
      <c r="B14" s="1" t="n">
        <v>0</v>
      </c>
      <c r="C14" s="1" t="n">
        <v>4</v>
      </c>
      <c r="D14" s="7" t="n">
        <v>45566</v>
      </c>
      <c r="E14" s="6" t="n">
        <f aca="false">((01_Lease_Master!$I$7)*EXP(0)+IF(D14&gt;=20_Escalation_Schedule!$B$10,20_Escalation_Schedule!$D$10*EXP(0),0)+IF(D14&gt;=20_Escalation_Schedule!$B$11,20_Escalation_Schedule!$D$11*EXP(0),0)+IF(D14&gt;=20_Escalation_Schedule!$B$12,20_Escalation_Schedule!$D$12*EXP(0),0)+IF(D14&gt;=20_Escalation_Schedule!$B$13,20_Escalation_Schedule!$D$13*EXP(0),0))</f>
        <v>450000</v>
      </c>
      <c r="F14" s="1" t="s">
        <v>126</v>
      </c>
      <c r="G14" s="1" t="n">
        <f aca="false">D14-01_Lease_Master!$D$7</f>
        <v>274</v>
      </c>
      <c r="H14" s="1" t="n">
        <f aca="false">G14/365</f>
        <v>0.750684931506849</v>
      </c>
      <c r="I14" s="1" t="n">
        <f aca="false">01_Lease_Master!$P$7</f>
        <v>0.1</v>
      </c>
      <c r="J14" s="1" t="n">
        <f aca="false">IF(F14="NO",1,1/(1+I14)^H14)</f>
        <v>0.930951669233724</v>
      </c>
      <c r="K14" s="6" t="n">
        <f aca="false">IF(F14="NO",0,E14*J14)</f>
        <v>418928.251155176</v>
      </c>
      <c r="L14" s="1" t="str">
        <f aca="false">IF(ABS(E14-E14)&lt;=01_Lease_Master!$AI$7,"PASS","CHECK")</f>
        <v>PASS</v>
      </c>
      <c r="M14" s="1" t="s">
        <v>126</v>
      </c>
    </row>
    <row r="15" customFormat="false" ht="15" hidden="false" customHeight="true" outlineLevel="0" collapsed="false">
      <c r="A15" s="1" t="s">
        <v>74</v>
      </c>
      <c r="B15" s="1" t="n">
        <v>0</v>
      </c>
      <c r="C15" s="1" t="n">
        <v>5</v>
      </c>
      <c r="D15" s="7" t="n">
        <v>45658</v>
      </c>
      <c r="E15" s="6" t="n">
        <f aca="false">((01_Lease_Master!$I$7)*EXP(0)+IF(D15&gt;=20_Escalation_Schedule!$B$10,20_Escalation_Schedule!$D$10*EXP(0),0)+IF(D15&gt;=20_Escalation_Schedule!$B$11,20_Escalation_Schedule!$D$11*EXP(0),0)+IF(D15&gt;=20_Escalation_Schedule!$B$12,20_Escalation_Schedule!$D$12*EXP(0),0)+IF(D15&gt;=20_Escalation_Schedule!$B$13,20_Escalation_Schedule!$D$13*EXP(0),0))</f>
        <v>475000</v>
      </c>
      <c r="F15" s="1" t="s">
        <v>126</v>
      </c>
      <c r="G15" s="1" t="n">
        <f aca="false">D15-01_Lease_Master!$D$7</f>
        <v>366</v>
      </c>
      <c r="H15" s="1" t="n">
        <f aca="false">G15/365</f>
        <v>1.0027397260274</v>
      </c>
      <c r="I15" s="1" t="n">
        <f aca="false">01_Lease_Master!$P$7</f>
        <v>0.1</v>
      </c>
      <c r="J15" s="1" t="n">
        <f aca="false">IF(F15="NO",1,1/(1+I15)^H15)</f>
        <v>0.908853554826874</v>
      </c>
      <c r="K15" s="6" t="n">
        <f aca="false">IF(F15="NO",0,E15*J15)</f>
        <v>431705.438542765</v>
      </c>
      <c r="L15" s="1" t="str">
        <f aca="false">IF(ABS(E15-E15)&lt;=01_Lease_Master!$AI$7,"PASS","CHECK")</f>
        <v>PASS</v>
      </c>
      <c r="M15" s="1" t="s">
        <v>126</v>
      </c>
    </row>
    <row r="16" customFormat="false" ht="15" hidden="false" customHeight="true" outlineLevel="0" collapsed="false">
      <c r="A16" s="1" t="s">
        <v>74</v>
      </c>
      <c r="B16" s="1" t="n">
        <v>0</v>
      </c>
      <c r="C16" s="1" t="n">
        <v>6</v>
      </c>
      <c r="D16" s="7" t="n">
        <v>45748</v>
      </c>
      <c r="E16" s="6" t="n">
        <f aca="false">((01_Lease_Master!$I$7)*EXP(0)+IF(D16&gt;=20_Escalation_Schedule!$B$10,20_Escalation_Schedule!$D$10*EXP(0),0)+IF(D16&gt;=20_Escalation_Schedule!$B$11,20_Escalation_Schedule!$D$11*EXP(0),0)+IF(D16&gt;=20_Escalation_Schedule!$B$12,20_Escalation_Schedule!$D$12*EXP(0),0)+IF(D16&gt;=20_Escalation_Schedule!$B$13,20_Escalation_Schedule!$D$13*EXP(0),0))</f>
        <v>475000</v>
      </c>
      <c r="F16" s="1" t="s">
        <v>126</v>
      </c>
      <c r="G16" s="1" t="n">
        <f aca="false">D16-01_Lease_Master!$D$7</f>
        <v>456</v>
      </c>
      <c r="H16" s="1" t="n">
        <f aca="false">G16/365</f>
        <v>1.24931506849315</v>
      </c>
      <c r="I16" s="1" t="n">
        <f aca="false">01_Lease_Master!$P$7</f>
        <v>0.1</v>
      </c>
      <c r="J16" s="1" t="n">
        <f aca="false">IF(F16="NO",1,1/(1+I16)^H16)</f>
        <v>0.887743486911616</v>
      </c>
      <c r="K16" s="6" t="n">
        <f aca="false">IF(F16="NO",0,E16*J16)</f>
        <v>421678.156283018</v>
      </c>
      <c r="L16" s="1" t="str">
        <f aca="false">IF(ABS(E16-E16)&lt;=01_Lease_Master!$AI$7,"PASS","CHECK")</f>
        <v>PASS</v>
      </c>
      <c r="M16" s="1" t="s">
        <v>126</v>
      </c>
    </row>
    <row r="17" customFormat="false" ht="15" hidden="false" customHeight="true" outlineLevel="0" collapsed="false">
      <c r="A17" s="1" t="s">
        <v>74</v>
      </c>
      <c r="B17" s="1" t="n">
        <v>0</v>
      </c>
      <c r="C17" s="1" t="n">
        <v>7</v>
      </c>
      <c r="D17" s="7" t="n">
        <v>45839</v>
      </c>
      <c r="E17" s="6" t="n">
        <f aca="false">((01_Lease_Master!$I$7)*EXP(0)+IF(D17&gt;=20_Escalation_Schedule!$B$10,20_Escalation_Schedule!$D$10*EXP(0),0)+IF(D17&gt;=20_Escalation_Schedule!$B$11,20_Escalation_Schedule!$D$11*EXP(0),0)+IF(D17&gt;=20_Escalation_Schedule!$B$12,20_Escalation_Schedule!$D$12*EXP(0),0)+IF(D17&gt;=20_Escalation_Schedule!$B$13,20_Escalation_Schedule!$D$13*EXP(0),0))</f>
        <v>475000</v>
      </c>
      <c r="F17" s="1" t="s">
        <v>126</v>
      </c>
      <c r="G17" s="1" t="n">
        <f aca="false">D17-01_Lease_Master!$D$7</f>
        <v>547</v>
      </c>
      <c r="H17" s="1" t="n">
        <f aca="false">G17/365</f>
        <v>1.4986301369863</v>
      </c>
      <c r="I17" s="1" t="n">
        <f aca="false">01_Lease_Master!$P$7</f>
        <v>0.1</v>
      </c>
      <c r="J17" s="1" t="n">
        <f aca="false">IF(F17="NO",1,1/(1+I17)^H17)</f>
        <v>0.866897348409395</v>
      </c>
      <c r="K17" s="6" t="n">
        <f aca="false">IF(F17="NO",0,E17*J17)</f>
        <v>411776.240494462</v>
      </c>
      <c r="L17" s="1" t="str">
        <f aca="false">IF(ABS(E17-E17)&lt;=01_Lease_Master!$AI$7,"PASS","CHECK")</f>
        <v>PASS</v>
      </c>
      <c r="M17" s="1" t="s">
        <v>126</v>
      </c>
    </row>
    <row r="18" customFormat="false" ht="15" hidden="false" customHeight="true" outlineLevel="0" collapsed="false">
      <c r="A18" s="1" t="s">
        <v>74</v>
      </c>
      <c r="B18" s="1" t="n">
        <v>0</v>
      </c>
      <c r="C18" s="1" t="n">
        <v>8</v>
      </c>
      <c r="D18" s="7" t="n">
        <v>45931</v>
      </c>
      <c r="E18" s="6" t="n">
        <f aca="false">((01_Lease_Master!$I$7)*EXP(0)+IF(D18&gt;=20_Escalation_Schedule!$B$10,20_Escalation_Schedule!$D$10*EXP(0),0)+IF(D18&gt;=20_Escalation_Schedule!$B$11,20_Escalation_Schedule!$D$11*EXP(0),0)+IF(D18&gt;=20_Escalation_Schedule!$B$12,20_Escalation_Schedule!$D$12*EXP(0),0)+IF(D18&gt;=20_Escalation_Schedule!$B$13,20_Escalation_Schedule!$D$13*EXP(0),0))</f>
        <v>475000</v>
      </c>
      <c r="F18" s="1" t="s">
        <v>126</v>
      </c>
      <c r="G18" s="1" t="n">
        <f aca="false">D18-01_Lease_Master!$D$7</f>
        <v>639</v>
      </c>
      <c r="H18" s="1" t="n">
        <f aca="false">G18/365</f>
        <v>1.75068493150685</v>
      </c>
      <c r="I18" s="1" t="n">
        <f aca="false">01_Lease_Master!$P$7</f>
        <v>0.1</v>
      </c>
      <c r="J18" s="1" t="n">
        <f aca="false">IF(F18="NO",1,1/(1+I18)^H18)</f>
        <v>0.846319699303385</v>
      </c>
      <c r="K18" s="6" t="n">
        <f aca="false">IF(F18="NO",0,E18*J18)</f>
        <v>402001.857169108</v>
      </c>
      <c r="L18" s="1" t="str">
        <f aca="false">IF(ABS(E18-E18)&lt;=01_Lease_Master!$AI$7,"PASS","CHECK")</f>
        <v>PASS</v>
      </c>
      <c r="M18" s="1" t="s">
        <v>126</v>
      </c>
    </row>
    <row r="19" customFormat="false" ht="15" hidden="false" customHeight="true" outlineLevel="0" collapsed="false">
      <c r="A19" s="1" t="s">
        <v>74</v>
      </c>
      <c r="B19" s="1" t="n">
        <v>0</v>
      </c>
      <c r="C19" s="1" t="n">
        <v>9</v>
      </c>
      <c r="D19" s="7" t="n">
        <v>46023</v>
      </c>
      <c r="E19" s="6" t="n">
        <f aca="false">((01_Lease_Master!$I$7)*EXP(0)+IF(D19&gt;=20_Escalation_Schedule!$B$10,20_Escalation_Schedule!$D$10*EXP(0),0)+IF(D19&gt;=20_Escalation_Schedule!$B$11,20_Escalation_Schedule!$D$11*EXP(0),0)+IF(D19&gt;=20_Escalation_Schedule!$B$12,20_Escalation_Schedule!$D$12*EXP(0),0)+IF(D19&gt;=20_Escalation_Schedule!$B$13,20_Escalation_Schedule!$D$13*EXP(0),0))</f>
        <v>500000</v>
      </c>
      <c r="F19" s="1" t="s">
        <v>126</v>
      </c>
      <c r="G19" s="1" t="n">
        <f aca="false">D19-01_Lease_Master!$D$7</f>
        <v>731</v>
      </c>
      <c r="H19" s="1" t="n">
        <f aca="false">G19/365</f>
        <v>2.0027397260274</v>
      </c>
      <c r="I19" s="1" t="n">
        <f aca="false">01_Lease_Master!$P$7</f>
        <v>0.1</v>
      </c>
      <c r="J19" s="1" t="n">
        <f aca="false">IF(F19="NO",1,1/(1+I19)^H19)</f>
        <v>0.826230504388067</v>
      </c>
      <c r="K19" s="6" t="n">
        <f aca="false">IF(F19="NO",0,E19*J19)</f>
        <v>413115.252194034</v>
      </c>
      <c r="L19" s="1" t="str">
        <f aca="false">IF(ABS(E19-E19)&lt;=01_Lease_Master!$AI$7,"PASS","CHECK")</f>
        <v>PASS</v>
      </c>
      <c r="M19" s="1" t="s">
        <v>126</v>
      </c>
    </row>
    <row r="20" customFormat="false" ht="15" hidden="false" customHeight="true" outlineLevel="0" collapsed="false">
      <c r="A20" s="1" t="s">
        <v>74</v>
      </c>
      <c r="B20" s="1" t="n">
        <v>0</v>
      </c>
      <c r="C20" s="1" t="n">
        <v>10</v>
      </c>
      <c r="D20" s="7" t="n">
        <v>46113</v>
      </c>
      <c r="E20" s="6" t="n">
        <f aca="false">((01_Lease_Master!$I$7)*EXP(0)+IF(D20&gt;=20_Escalation_Schedule!$B$10,20_Escalation_Schedule!$D$10*EXP(0),0)+IF(D20&gt;=20_Escalation_Schedule!$B$11,20_Escalation_Schedule!$D$11*EXP(0),0)+IF(D20&gt;=20_Escalation_Schedule!$B$12,20_Escalation_Schedule!$D$12*EXP(0),0)+IF(D20&gt;=20_Escalation_Schedule!$B$13,20_Escalation_Schedule!$D$13*EXP(0),0))</f>
        <v>500000</v>
      </c>
      <c r="F20" s="1" t="s">
        <v>126</v>
      </c>
      <c r="G20" s="1" t="n">
        <f aca="false">D20-01_Lease_Master!$D$7</f>
        <v>821</v>
      </c>
      <c r="H20" s="1" t="n">
        <f aca="false">G20/365</f>
        <v>2.24931506849315</v>
      </c>
      <c r="I20" s="1" t="n">
        <f aca="false">01_Lease_Master!$P$7</f>
        <v>0.1</v>
      </c>
      <c r="J20" s="1" t="n">
        <f aca="false">IF(F20="NO",1,1/(1+I20)^H20)</f>
        <v>0.807039533556015</v>
      </c>
      <c r="K20" s="6" t="n">
        <f aca="false">IF(F20="NO",0,E20*J20)</f>
        <v>403519.766778007</v>
      </c>
      <c r="L20" s="1" t="str">
        <f aca="false">IF(ABS(E20-E20)&lt;=01_Lease_Master!$AI$7,"PASS","CHECK")</f>
        <v>PASS</v>
      </c>
      <c r="M20" s="1" t="s">
        <v>126</v>
      </c>
    </row>
    <row r="21" customFormat="false" ht="15" hidden="false" customHeight="true" outlineLevel="0" collapsed="false">
      <c r="A21" s="1" t="s">
        <v>74</v>
      </c>
      <c r="B21" s="1" t="n">
        <v>0</v>
      </c>
      <c r="C21" s="1" t="n">
        <v>11</v>
      </c>
      <c r="D21" s="7" t="n">
        <v>46204</v>
      </c>
      <c r="E21" s="6" t="n">
        <f aca="false">((01_Lease_Master!$I$7)*EXP(0)+IF(D21&gt;=20_Escalation_Schedule!$B$10,20_Escalation_Schedule!$D$10*EXP(0),0)+IF(D21&gt;=20_Escalation_Schedule!$B$11,20_Escalation_Schedule!$D$11*EXP(0),0)+IF(D21&gt;=20_Escalation_Schedule!$B$12,20_Escalation_Schedule!$D$12*EXP(0),0)+IF(D21&gt;=20_Escalation_Schedule!$B$13,20_Escalation_Schedule!$D$13*EXP(0),0))</f>
        <v>500000</v>
      </c>
      <c r="F21" s="1" t="s">
        <v>126</v>
      </c>
      <c r="G21" s="1" t="n">
        <f aca="false">D21-01_Lease_Master!$D$7</f>
        <v>912</v>
      </c>
      <c r="H21" s="1" t="n">
        <f aca="false">G21/365</f>
        <v>2.4986301369863</v>
      </c>
      <c r="I21" s="1" t="n">
        <f aca="false">01_Lease_Master!$P$7</f>
        <v>0.1</v>
      </c>
      <c r="J21" s="1" t="n">
        <f aca="false">IF(F21="NO",1,1/(1+I21)^H21)</f>
        <v>0.788088498553995</v>
      </c>
      <c r="K21" s="6" t="n">
        <f aca="false">IF(F21="NO",0,E21*J21)</f>
        <v>394044.249276998</v>
      </c>
      <c r="L21" s="1" t="str">
        <f aca="false">IF(ABS(E21-E21)&lt;=01_Lease_Master!$AI$7,"PASS","CHECK")</f>
        <v>PASS</v>
      </c>
      <c r="M21" s="1" t="s">
        <v>126</v>
      </c>
    </row>
    <row r="22" customFormat="false" ht="15" hidden="false" customHeight="true" outlineLevel="0" collapsed="false">
      <c r="A22" s="1" t="s">
        <v>74</v>
      </c>
      <c r="B22" s="1" t="n">
        <v>0</v>
      </c>
      <c r="C22" s="1" t="n">
        <v>12</v>
      </c>
      <c r="D22" s="7" t="n">
        <v>46296</v>
      </c>
      <c r="E22" s="6" t="n">
        <f aca="false">((01_Lease_Master!$I$7)*EXP(0)+IF(D22&gt;=20_Escalation_Schedule!$B$10,20_Escalation_Schedule!$D$10*EXP(0),0)+IF(D22&gt;=20_Escalation_Schedule!$B$11,20_Escalation_Schedule!$D$11*EXP(0),0)+IF(D22&gt;=20_Escalation_Schedule!$B$12,20_Escalation_Schedule!$D$12*EXP(0),0)+IF(D22&gt;=20_Escalation_Schedule!$B$13,20_Escalation_Schedule!$D$13*EXP(0),0))</f>
        <v>500000</v>
      </c>
      <c r="F22" s="1" t="s">
        <v>126</v>
      </c>
      <c r="G22" s="1" t="n">
        <f aca="false">D22-01_Lease_Master!$D$7</f>
        <v>1004</v>
      </c>
      <c r="H22" s="1" t="n">
        <f aca="false">G22/365</f>
        <v>2.75068493150685</v>
      </c>
      <c r="I22" s="1" t="n">
        <f aca="false">01_Lease_Master!$P$7</f>
        <v>0.1</v>
      </c>
      <c r="J22" s="1" t="n">
        <f aca="false">IF(F22="NO",1,1/(1+I22)^H22)</f>
        <v>0.769381544821259</v>
      </c>
      <c r="K22" s="6" t="n">
        <f aca="false">IF(F22="NO",0,E22*J22)</f>
        <v>384690.77241063</v>
      </c>
      <c r="L22" s="1" t="str">
        <f aca="false">IF(ABS(E22-E22)&lt;=01_Lease_Master!$AI$7,"PASS","CHECK")</f>
        <v>PASS</v>
      </c>
      <c r="M22" s="1" t="s">
        <v>126</v>
      </c>
    </row>
    <row r="23" customFormat="false" ht="15" hidden="false" customHeight="true" outlineLevel="0" collapsed="false">
      <c r="A23" s="1" t="s">
        <v>74</v>
      </c>
      <c r="B23" s="1" t="n">
        <v>0</v>
      </c>
      <c r="C23" s="1" t="n">
        <v>13</v>
      </c>
      <c r="D23" s="7" t="n">
        <v>46388</v>
      </c>
      <c r="E23" s="6" t="n">
        <f aca="false">((01_Lease_Master!$I$7)*EXP(0)+IF(D23&gt;=20_Escalation_Schedule!$B$10,20_Escalation_Schedule!$D$10*EXP(0),0)+IF(D23&gt;=20_Escalation_Schedule!$B$11,20_Escalation_Schedule!$D$11*EXP(0),0)+IF(D23&gt;=20_Escalation_Schedule!$B$12,20_Escalation_Schedule!$D$12*EXP(0),0)+IF(D23&gt;=20_Escalation_Schedule!$B$13,20_Escalation_Schedule!$D$13*EXP(0),0))</f>
        <v>525000</v>
      </c>
      <c r="F23" s="1" t="s">
        <v>126</v>
      </c>
      <c r="G23" s="1" t="n">
        <f aca="false">D23-01_Lease_Master!$D$7</f>
        <v>1096</v>
      </c>
      <c r="H23" s="1" t="n">
        <f aca="false">G23/365</f>
        <v>3.0027397260274</v>
      </c>
      <c r="I23" s="1" t="n">
        <f aca="false">01_Lease_Master!$P$7</f>
        <v>0.1</v>
      </c>
      <c r="J23" s="1" t="n">
        <f aca="false">IF(F23="NO",1,1/(1+I23)^H23)</f>
        <v>0.751118640352788</v>
      </c>
      <c r="K23" s="6" t="n">
        <f aca="false">IF(F23="NO",0,E23*J23)</f>
        <v>394337.286185214</v>
      </c>
      <c r="L23" s="1" t="str">
        <f aca="false">IF(ABS(E23-E23)&lt;=01_Lease_Master!$AI$7,"PASS","CHECK")</f>
        <v>PASS</v>
      </c>
      <c r="M23" s="1" t="s">
        <v>126</v>
      </c>
    </row>
    <row r="24" customFormat="false" ht="15" hidden="false" customHeight="true" outlineLevel="0" collapsed="false">
      <c r="A24" s="1" t="s">
        <v>74</v>
      </c>
      <c r="B24" s="1" t="n">
        <v>0</v>
      </c>
      <c r="C24" s="1" t="n">
        <v>14</v>
      </c>
      <c r="D24" s="7" t="n">
        <v>46478</v>
      </c>
      <c r="E24" s="6" t="n">
        <f aca="false">((01_Lease_Master!$I$7)*EXP(0)+IF(D24&gt;=20_Escalation_Schedule!$B$10,20_Escalation_Schedule!$D$10*EXP(0),0)+IF(D24&gt;=20_Escalation_Schedule!$B$11,20_Escalation_Schedule!$D$11*EXP(0),0)+IF(D24&gt;=20_Escalation_Schedule!$B$12,20_Escalation_Schedule!$D$12*EXP(0),0)+IF(D24&gt;=20_Escalation_Schedule!$B$13,20_Escalation_Schedule!$D$13*EXP(0),0))</f>
        <v>525000</v>
      </c>
      <c r="F24" s="1" t="s">
        <v>126</v>
      </c>
      <c r="G24" s="1" t="n">
        <f aca="false">D24-01_Lease_Master!$D$7</f>
        <v>1186</v>
      </c>
      <c r="H24" s="1" t="n">
        <f aca="false">G24/365</f>
        <v>3.24931506849315</v>
      </c>
      <c r="I24" s="1" t="n">
        <f aca="false">01_Lease_Master!$P$7</f>
        <v>0.1</v>
      </c>
      <c r="J24" s="1" t="n">
        <f aca="false">IF(F24="NO",1,1/(1+I24)^H24)</f>
        <v>0.733672303232741</v>
      </c>
      <c r="K24" s="6" t="n">
        <f aca="false">IF(F24="NO",0,E24*J24)</f>
        <v>385177.959197189</v>
      </c>
      <c r="L24" s="1" t="str">
        <f aca="false">IF(ABS(E24-E24)&lt;=01_Lease_Master!$AI$7,"PASS","CHECK")</f>
        <v>PASS</v>
      </c>
      <c r="M24" s="1" t="s">
        <v>126</v>
      </c>
    </row>
    <row r="25" customFormat="false" ht="15" hidden="false" customHeight="true" outlineLevel="0" collapsed="false">
      <c r="A25" s="1" t="s">
        <v>74</v>
      </c>
      <c r="B25" s="1" t="n">
        <v>0</v>
      </c>
      <c r="C25" s="1" t="n">
        <v>15</v>
      </c>
      <c r="D25" s="7" t="n">
        <v>46569</v>
      </c>
      <c r="E25" s="6" t="n">
        <f aca="false">((01_Lease_Master!$I$7)*EXP(0)+IF(D25&gt;=20_Escalation_Schedule!$B$10,20_Escalation_Schedule!$D$10*EXP(0),0)+IF(D25&gt;=20_Escalation_Schedule!$B$11,20_Escalation_Schedule!$D$11*EXP(0),0)+IF(D25&gt;=20_Escalation_Schedule!$B$12,20_Escalation_Schedule!$D$12*EXP(0),0)+IF(D25&gt;=20_Escalation_Schedule!$B$13,20_Escalation_Schedule!$D$13*EXP(0),0))</f>
        <v>525000</v>
      </c>
      <c r="F25" s="1" t="s">
        <v>126</v>
      </c>
      <c r="G25" s="1" t="n">
        <f aca="false">D25-01_Lease_Master!$D$7</f>
        <v>1277</v>
      </c>
      <c r="H25" s="1" t="n">
        <f aca="false">G25/365</f>
        <v>3.4986301369863</v>
      </c>
      <c r="I25" s="1" t="n">
        <f aca="false">01_Lease_Master!$P$7</f>
        <v>0.1</v>
      </c>
      <c r="J25" s="1" t="n">
        <f aca="false">IF(F25="NO",1,1/(1+I25)^H25)</f>
        <v>0.716444089594541</v>
      </c>
      <c r="K25" s="6" t="n">
        <f aca="false">IF(F25="NO",0,E25*J25)</f>
        <v>376133.147037134</v>
      </c>
      <c r="L25" s="1" t="str">
        <f aca="false">IF(ABS(E25-E25)&lt;=01_Lease_Master!$AI$7,"PASS","CHECK")</f>
        <v>PASS</v>
      </c>
      <c r="M25" s="1" t="s">
        <v>126</v>
      </c>
    </row>
    <row r="26" customFormat="false" ht="15" hidden="false" customHeight="true" outlineLevel="0" collapsed="false">
      <c r="A26" s="1" t="s">
        <v>74</v>
      </c>
      <c r="B26" s="1" t="n">
        <v>0</v>
      </c>
      <c r="C26" s="1" t="n">
        <v>16</v>
      </c>
      <c r="D26" s="7" t="n">
        <v>46661</v>
      </c>
      <c r="E26" s="6" t="n">
        <f aca="false">((01_Lease_Master!$I$7)*EXP(0)+IF(D26&gt;=20_Escalation_Schedule!$B$10,20_Escalation_Schedule!$D$10*EXP(0),0)+IF(D26&gt;=20_Escalation_Schedule!$B$11,20_Escalation_Schedule!$D$11*EXP(0),0)+IF(D26&gt;=20_Escalation_Schedule!$B$12,20_Escalation_Schedule!$D$12*EXP(0),0)+IF(D26&gt;=20_Escalation_Schedule!$B$13,20_Escalation_Schedule!$D$13*EXP(0),0))</f>
        <v>525000</v>
      </c>
      <c r="F26" s="1" t="s">
        <v>126</v>
      </c>
      <c r="G26" s="1" t="n">
        <f aca="false">D26-01_Lease_Master!$D$7</f>
        <v>1369</v>
      </c>
      <c r="H26" s="1" t="n">
        <f aca="false">G26/365</f>
        <v>3.75068493150685</v>
      </c>
      <c r="I26" s="1" t="n">
        <f aca="false">01_Lease_Master!$P$7</f>
        <v>0.1</v>
      </c>
      <c r="J26" s="1" t="n">
        <f aca="false">IF(F26="NO",1,1/(1+I26)^H26)</f>
        <v>0.699437768019326</v>
      </c>
      <c r="K26" s="6" t="n">
        <f aca="false">IF(F26="NO",0,E26*J26)</f>
        <v>367204.828210146</v>
      </c>
      <c r="L26" s="1" t="str">
        <f aca="false">IF(ABS(E26-E26)&lt;=01_Lease_Master!$AI$7,"PASS","CHECK")</f>
        <v>PASS</v>
      </c>
      <c r="M26" s="1" t="s">
        <v>126</v>
      </c>
    </row>
    <row r="27" customFormat="false" ht="15" hidden="false" customHeight="true" outlineLevel="0" collapsed="false">
      <c r="A27" s="1" t="s">
        <v>74</v>
      </c>
      <c r="B27" s="1" t="n">
        <v>0</v>
      </c>
      <c r="C27" s="1" t="n">
        <v>17</v>
      </c>
      <c r="D27" s="7" t="n">
        <v>46753</v>
      </c>
      <c r="E27" s="6" t="n">
        <f aca="false">((01_Lease_Master!$I$7)*EXP(0)+IF(D27&gt;=20_Escalation_Schedule!$B$10,20_Escalation_Schedule!$D$10*EXP(0),0)+IF(D27&gt;=20_Escalation_Schedule!$B$11,20_Escalation_Schedule!$D$11*EXP(0),0)+IF(D27&gt;=20_Escalation_Schedule!$B$12,20_Escalation_Schedule!$D$12*EXP(0),0)+IF(D27&gt;=20_Escalation_Schedule!$B$13,20_Escalation_Schedule!$D$13*EXP(0),0))</f>
        <v>550000</v>
      </c>
      <c r="F27" s="1" t="s">
        <v>126</v>
      </c>
      <c r="G27" s="1" t="n">
        <f aca="false">D27-01_Lease_Master!$D$7</f>
        <v>1461</v>
      </c>
      <c r="H27" s="1" t="n">
        <f aca="false">G27/365</f>
        <v>4.0027397260274</v>
      </c>
      <c r="I27" s="1" t="n">
        <f aca="false">01_Lease_Master!$P$7</f>
        <v>0.1</v>
      </c>
      <c r="J27" s="1" t="n">
        <f aca="false">IF(F27="NO",1,1/(1+I27)^H27)</f>
        <v>0.682835127593444</v>
      </c>
      <c r="K27" s="6" t="n">
        <f aca="false">IF(F27="NO",0,E27*J27)</f>
        <v>375559.320176394</v>
      </c>
      <c r="L27" s="1" t="str">
        <f aca="false">IF(ABS(E27-E27)&lt;=01_Lease_Master!$AI$7,"PASS","CHECK")</f>
        <v>PASS</v>
      </c>
      <c r="M27" s="1" t="s">
        <v>126</v>
      </c>
    </row>
    <row r="28" customFormat="false" ht="15" hidden="false" customHeight="true" outlineLevel="0" collapsed="false">
      <c r="A28" s="1" t="s">
        <v>74</v>
      </c>
      <c r="B28" s="1" t="n">
        <v>0</v>
      </c>
      <c r="C28" s="1" t="n">
        <v>18</v>
      </c>
      <c r="D28" s="7" t="n">
        <v>46844</v>
      </c>
      <c r="E28" s="6" t="n">
        <f aca="false">((01_Lease_Master!$I$7)*EXP(0)+IF(D28&gt;=20_Escalation_Schedule!$B$10,20_Escalation_Schedule!$D$10*EXP(0),0)+IF(D28&gt;=20_Escalation_Schedule!$B$11,20_Escalation_Schedule!$D$11*EXP(0),0)+IF(D28&gt;=20_Escalation_Schedule!$B$12,20_Escalation_Schedule!$D$12*EXP(0),0)+IF(D28&gt;=20_Escalation_Schedule!$B$13,20_Escalation_Schedule!$D$13*EXP(0),0))</f>
        <v>550000</v>
      </c>
      <c r="F28" s="1" t="s">
        <v>126</v>
      </c>
      <c r="G28" s="1" t="n">
        <f aca="false">D28-01_Lease_Master!$D$7</f>
        <v>1552</v>
      </c>
      <c r="H28" s="1" t="n">
        <f aca="false">G28/365</f>
        <v>4.25205479452055</v>
      </c>
      <c r="I28" s="1" t="n">
        <f aca="false">01_Lease_Master!$P$7</f>
        <v>0.1</v>
      </c>
      <c r="J28" s="1" t="n">
        <f aca="false">IF(F28="NO",1,1/(1+I28)^H28)</f>
        <v>0.666800680871096</v>
      </c>
      <c r="K28" s="6" t="n">
        <f aca="false">IF(F28="NO",0,E28*J28)</f>
        <v>366740.374479103</v>
      </c>
      <c r="L28" s="1" t="str">
        <f aca="false">IF(ABS(E28-E28)&lt;=01_Lease_Master!$AI$7,"PASS","CHECK")</f>
        <v>PASS</v>
      </c>
      <c r="M28" s="1" t="s">
        <v>126</v>
      </c>
    </row>
    <row r="29" customFormat="false" ht="15" hidden="false" customHeight="true" outlineLevel="0" collapsed="false">
      <c r="A29" s="1" t="s">
        <v>74</v>
      </c>
      <c r="B29" s="1" t="n">
        <v>0</v>
      </c>
      <c r="C29" s="1" t="n">
        <v>19</v>
      </c>
      <c r="D29" s="7" t="n">
        <v>46935</v>
      </c>
      <c r="E29" s="6" t="n">
        <f aca="false">((01_Lease_Master!$I$7)*EXP(0)+IF(D29&gt;=20_Escalation_Schedule!$B$10,20_Escalation_Schedule!$D$10*EXP(0),0)+IF(D29&gt;=20_Escalation_Schedule!$B$11,20_Escalation_Schedule!$D$11*EXP(0),0)+IF(D29&gt;=20_Escalation_Schedule!$B$12,20_Escalation_Schedule!$D$12*EXP(0),0)+IF(D29&gt;=20_Escalation_Schedule!$B$13,20_Escalation_Schedule!$D$13*EXP(0),0))</f>
        <v>550000</v>
      </c>
      <c r="F29" s="1" t="s">
        <v>126</v>
      </c>
      <c r="G29" s="1" t="n">
        <f aca="false">D29-01_Lease_Master!$D$7</f>
        <v>1643</v>
      </c>
      <c r="H29" s="1" t="n">
        <f aca="false">G29/365</f>
        <v>4.5013698630137</v>
      </c>
      <c r="I29" s="1" t="n">
        <f aca="false">01_Lease_Master!$P$7</f>
        <v>0.1</v>
      </c>
      <c r="J29" s="1" t="n">
        <f aca="false">IF(F29="NO",1,1/(1+I29)^H29)</f>
        <v>0.651142757662702</v>
      </c>
      <c r="K29" s="6" t="n">
        <f aca="false">IF(F29="NO",0,E29*J29)</f>
        <v>358128.516714486</v>
      </c>
      <c r="L29" s="1" t="str">
        <f aca="false">IF(ABS(E29-E29)&lt;=01_Lease_Master!$AI$7,"PASS","CHECK")</f>
        <v>PASS</v>
      </c>
      <c r="M29" s="1" t="s">
        <v>126</v>
      </c>
    </row>
    <row r="30" customFormat="false" ht="15" hidden="false" customHeight="true" outlineLevel="0" collapsed="false">
      <c r="A30" s="1" t="s">
        <v>74</v>
      </c>
      <c r="B30" s="1" t="n">
        <v>0</v>
      </c>
      <c r="C30" s="1" t="n">
        <v>20</v>
      </c>
      <c r="D30" s="7" t="n">
        <v>47027</v>
      </c>
      <c r="E30" s="6" t="n">
        <f aca="false">((01_Lease_Master!$I$7)*EXP(0)+IF(D30&gt;=20_Escalation_Schedule!$B$10,20_Escalation_Schedule!$D$10*EXP(0),0)+IF(D30&gt;=20_Escalation_Schedule!$B$11,20_Escalation_Schedule!$D$11*EXP(0),0)+IF(D30&gt;=20_Escalation_Schedule!$B$12,20_Escalation_Schedule!$D$12*EXP(0),0)+IF(D30&gt;=20_Escalation_Schedule!$B$13,20_Escalation_Schedule!$D$13*EXP(0),0))</f>
        <v>550000</v>
      </c>
      <c r="F30" s="1" t="s">
        <v>126</v>
      </c>
      <c r="G30" s="1" t="n">
        <f aca="false">D30-01_Lease_Master!$D$7</f>
        <v>1735</v>
      </c>
      <c r="H30" s="1" t="n">
        <f aca="false">G30/365</f>
        <v>4.75342465753425</v>
      </c>
      <c r="I30" s="1" t="n">
        <f aca="false">01_Lease_Master!$P$7</f>
        <v>0.1</v>
      </c>
      <c r="J30" s="1" t="n">
        <f aca="false">IF(F30="NO",1,1/(1+I30)^H30)</f>
        <v>0.635686501844539</v>
      </c>
      <c r="K30" s="6" t="n">
        <f aca="false">IF(F30="NO",0,E30*J30)</f>
        <v>349627.576014496</v>
      </c>
      <c r="L30" s="1" t="str">
        <f aca="false">IF(ABS(E30-E30)&lt;=01_Lease_Master!$AI$7,"PASS","CHECK")</f>
        <v>PASS</v>
      </c>
      <c r="M30" s="1" t="s">
        <v>126</v>
      </c>
    </row>
    <row r="31" customFormat="false" ht="15" hidden="false" customHeight="true" outlineLevel="0" collapsed="false">
      <c r="A31" s="1" t="s">
        <v>74</v>
      </c>
      <c r="B31" s="1" t="n">
        <v>0</v>
      </c>
      <c r="C31" s="1" t="n">
        <v>21</v>
      </c>
      <c r="D31" s="7" t="n">
        <v>47119</v>
      </c>
      <c r="E31" s="6" t="n">
        <f aca="false">((01_Lease_Master!$I$7)*EXP(0)+IF(D31&gt;=20_Escalation_Schedule!$B$10,20_Escalation_Schedule!$D$10*EXP(0),0)+IF(D31&gt;=20_Escalation_Schedule!$B$11,20_Escalation_Schedule!$D$11*EXP(0),0)+IF(D31&gt;=20_Escalation_Schedule!$B$12,20_Escalation_Schedule!$D$12*EXP(0),0)+IF(D31&gt;=20_Escalation_Schedule!$B$13,20_Escalation_Schedule!$D$13*EXP(0),0))</f>
        <v>550000</v>
      </c>
      <c r="F31" s="1" t="s">
        <v>126</v>
      </c>
      <c r="G31" s="1" t="n">
        <f aca="false">D31-01_Lease_Master!$D$7</f>
        <v>1827</v>
      </c>
      <c r="H31" s="1" t="n">
        <f aca="false">G31/365</f>
        <v>5.0054794520548</v>
      </c>
      <c r="I31" s="1" t="n">
        <f aca="false">01_Lease_Master!$P$7</f>
        <v>0.1</v>
      </c>
      <c r="J31" s="1" t="n">
        <f aca="false">IF(F31="NO",1,1/(1+I31)^H31)</f>
        <v>0.620597133073963</v>
      </c>
      <c r="K31" s="6" t="n">
        <f aca="false">IF(F31="NO",0,E31*J31)</f>
        <v>341328.42319068</v>
      </c>
      <c r="L31" s="1" t="str">
        <f aca="false">IF(ABS(E31-E31)&lt;=01_Lease_Master!$AI$7,"PASS","CHECK")</f>
        <v>PASS</v>
      </c>
      <c r="M31" s="1" t="s">
        <v>126</v>
      </c>
    </row>
    <row r="32" customFormat="false" ht="15" hidden="false" customHeight="true" outlineLevel="0" collapsed="false">
      <c r="A32" s="1" t="s">
        <v>74</v>
      </c>
      <c r="B32" s="1" t="n">
        <v>0</v>
      </c>
      <c r="C32" s="1" t="n">
        <v>22</v>
      </c>
      <c r="D32" s="7" t="n">
        <v>47209</v>
      </c>
      <c r="E32" s="6" t="n">
        <f aca="false">((01_Lease_Master!$I$7)*EXP(0)+IF(D32&gt;=20_Escalation_Schedule!$B$10,20_Escalation_Schedule!$D$10*EXP(0),0)+IF(D32&gt;=20_Escalation_Schedule!$B$11,20_Escalation_Schedule!$D$11*EXP(0),0)+IF(D32&gt;=20_Escalation_Schedule!$B$12,20_Escalation_Schedule!$D$12*EXP(0),0)+IF(D32&gt;=20_Escalation_Schedule!$B$13,20_Escalation_Schedule!$D$13*EXP(0),0))</f>
        <v>550000</v>
      </c>
      <c r="F32" s="1" t="s">
        <v>126</v>
      </c>
      <c r="G32" s="1" t="n">
        <f aca="false">D32-01_Lease_Master!$D$7</f>
        <v>1917</v>
      </c>
      <c r="H32" s="1" t="n">
        <f aca="false">G32/365</f>
        <v>5.25205479452055</v>
      </c>
      <c r="I32" s="1" t="n">
        <f aca="false">01_Lease_Master!$P$7</f>
        <v>0.1</v>
      </c>
      <c r="J32" s="1" t="n">
        <f aca="false">IF(F32="NO",1,1/(1+I32)^H32)</f>
        <v>0.606182437155542</v>
      </c>
      <c r="K32" s="6" t="n">
        <f aca="false">IF(F32="NO",0,E32*J32)</f>
        <v>333400.340435548</v>
      </c>
      <c r="L32" s="1" t="str">
        <f aca="false">IF(ABS(E32-E32)&lt;=01_Lease_Master!$AI$7,"PASS","CHECK")</f>
        <v>PASS</v>
      </c>
      <c r="M32" s="1" t="s">
        <v>126</v>
      </c>
    </row>
    <row r="33" customFormat="false" ht="15" hidden="false" customHeight="true" outlineLevel="0" collapsed="false">
      <c r="A33" s="1" t="s">
        <v>74</v>
      </c>
      <c r="B33" s="1" t="n">
        <v>0</v>
      </c>
      <c r="C33" s="1" t="n">
        <v>23</v>
      </c>
      <c r="D33" s="7" t="n">
        <v>47300</v>
      </c>
      <c r="E33" s="6" t="n">
        <f aca="false">((01_Lease_Master!$I$7)*EXP(0)+IF(D33&gt;=20_Escalation_Schedule!$B$10,20_Escalation_Schedule!$D$10*EXP(0),0)+IF(D33&gt;=20_Escalation_Schedule!$B$11,20_Escalation_Schedule!$D$11*EXP(0),0)+IF(D33&gt;=20_Escalation_Schedule!$B$12,20_Escalation_Schedule!$D$12*EXP(0),0)+IF(D33&gt;=20_Escalation_Schedule!$B$13,20_Escalation_Schedule!$D$13*EXP(0),0))</f>
        <v>550000</v>
      </c>
      <c r="F33" s="1" t="s">
        <v>126</v>
      </c>
      <c r="G33" s="1" t="n">
        <f aca="false">D33-01_Lease_Master!$D$7</f>
        <v>2008</v>
      </c>
      <c r="H33" s="1" t="n">
        <f aca="false">G33/365</f>
        <v>5.5013698630137</v>
      </c>
      <c r="I33" s="1" t="n">
        <f aca="false">01_Lease_Master!$P$7</f>
        <v>0.1</v>
      </c>
      <c r="J33" s="1" t="n">
        <f aca="false">IF(F33="NO",1,1/(1+I33)^H33)</f>
        <v>0.591947961511547</v>
      </c>
      <c r="K33" s="6" t="n">
        <f aca="false">IF(F33="NO",0,E33*J33)</f>
        <v>325571.378831351</v>
      </c>
      <c r="L33" s="1" t="str">
        <f aca="false">IF(ABS(E33-E33)&lt;=01_Lease_Master!$AI$7,"PASS","CHECK")</f>
        <v>PASS</v>
      </c>
      <c r="M33" s="1" t="s">
        <v>126</v>
      </c>
    </row>
    <row r="34" customFormat="false" ht="15" hidden="false" customHeight="true" outlineLevel="0" collapsed="false">
      <c r="A34" s="1" t="s">
        <v>74</v>
      </c>
      <c r="B34" s="1" t="n">
        <v>0</v>
      </c>
      <c r="C34" s="1" t="n">
        <v>24</v>
      </c>
      <c r="D34" s="7" t="n">
        <v>47392</v>
      </c>
      <c r="E34" s="6" t="n">
        <f aca="false">((01_Lease_Master!$I$7)*EXP(0)+IF(D34&gt;=20_Escalation_Schedule!$B$10,20_Escalation_Schedule!$D$10*EXP(0),0)+IF(D34&gt;=20_Escalation_Schedule!$B$11,20_Escalation_Schedule!$D$11*EXP(0),0)+IF(D34&gt;=20_Escalation_Schedule!$B$12,20_Escalation_Schedule!$D$12*EXP(0),0)+IF(D34&gt;=20_Escalation_Schedule!$B$13,20_Escalation_Schedule!$D$13*EXP(0),0))</f>
        <v>550000</v>
      </c>
      <c r="F34" s="1" t="s">
        <v>126</v>
      </c>
      <c r="G34" s="1" t="n">
        <f aca="false">D34-01_Lease_Master!$D$7</f>
        <v>2100</v>
      </c>
      <c r="H34" s="1" t="n">
        <f aca="false">G34/365</f>
        <v>5.75342465753425</v>
      </c>
      <c r="I34" s="1" t="n">
        <f aca="false">01_Lease_Master!$P$7</f>
        <v>0.1</v>
      </c>
      <c r="J34" s="1" t="n">
        <f aca="false">IF(F34="NO",1,1/(1+I34)^H34)</f>
        <v>0.577896819858672</v>
      </c>
      <c r="K34" s="6" t="n">
        <f aca="false">IF(F34="NO",0,E34*J34)</f>
        <v>317843.25092227</v>
      </c>
      <c r="L34" s="1" t="str">
        <f aca="false">IF(ABS(E34-E34)&lt;=01_Lease_Master!$AI$7,"PASS","CHECK")</f>
        <v>PASS</v>
      </c>
      <c r="M34" s="1" t="s">
        <v>126</v>
      </c>
    </row>
    <row r="35" customFormat="false" ht="15" hidden="false" customHeight="true" outlineLevel="0" collapsed="false">
      <c r="A35" s="1" t="s">
        <v>80</v>
      </c>
      <c r="B35" s="1" t="n">
        <v>0</v>
      </c>
      <c r="C35" s="1" t="n">
        <v>1</v>
      </c>
      <c r="D35" s="7" t="n">
        <v>46295</v>
      </c>
      <c r="E35" s="6" t="n">
        <f aca="false">((01_Lease_Master!$I$8)*EXP(IF(D35&gt;=20_Escalation_Schedule!$B$14,LN(1+20_Escalation_Schedule!$D$14),0)+IF(D35&gt;=20_Escalation_Schedule!$B$15,LN(1+20_Escalation_Schedule!$D$15),0)+IF(D35&gt;=20_Escalation_Schedule!$B$16,LN(1+20_Escalation_Schedule!$D$16),0)+IF(D35&gt;=20_Escalation_Schedule!$B$17,LN(1+20_Escalation_Schedule!$D$17),0)))</f>
        <v>90000</v>
      </c>
      <c r="F35" s="1" t="s">
        <v>126</v>
      </c>
      <c r="G35" s="1" t="n">
        <f aca="false">D35-01_Lease_Master!$D$8</f>
        <v>182</v>
      </c>
      <c r="H35" s="1" t="n">
        <f aca="false">G35/365</f>
        <v>0.498630136986301</v>
      </c>
      <c r="I35" s="1" t="n">
        <f aca="false">01_Lease_Master!$P$8</f>
        <v>0.09</v>
      </c>
      <c r="J35" s="1" t="n">
        <f aca="false">IF(F35="NO",1,1/(1+I35)^H35)</f>
        <v>0.957939364858185</v>
      </c>
      <c r="K35" s="6" t="n">
        <f aca="false">IF(F35="NO",0,E35*J35)</f>
        <v>86214.5428372367</v>
      </c>
      <c r="L35" s="1" t="str">
        <f aca="false">IF(ABS(E35-E35)&lt;=01_Lease_Master!$AI$8,"PASS","CHECK")</f>
        <v>PASS</v>
      </c>
      <c r="M35" s="1" t="s">
        <v>126</v>
      </c>
    </row>
    <row r="36" customFormat="false" ht="15" hidden="false" customHeight="true" outlineLevel="0" collapsed="false">
      <c r="A36" s="1" t="s">
        <v>80</v>
      </c>
      <c r="B36" s="1" t="n">
        <v>0</v>
      </c>
      <c r="C36" s="1" t="n">
        <v>2</v>
      </c>
      <c r="D36" s="7" t="n">
        <v>46476</v>
      </c>
      <c r="E36" s="6" t="n">
        <f aca="false">((01_Lease_Master!$I$8)*EXP(IF(D36&gt;=20_Escalation_Schedule!$B$14,LN(1+20_Escalation_Schedule!$D$14),0)+IF(D36&gt;=20_Escalation_Schedule!$B$15,LN(1+20_Escalation_Schedule!$D$15),0)+IF(D36&gt;=20_Escalation_Schedule!$B$16,LN(1+20_Escalation_Schedule!$D$16),0)+IF(D36&gt;=20_Escalation_Schedule!$B$17,LN(1+20_Escalation_Schedule!$D$17),0)))</f>
        <v>90000</v>
      </c>
      <c r="F36" s="1" t="s">
        <v>126</v>
      </c>
      <c r="G36" s="1" t="n">
        <f aca="false">D36-01_Lease_Master!$D$8</f>
        <v>363</v>
      </c>
      <c r="H36" s="1" t="n">
        <f aca="false">G36/365</f>
        <v>0.994520547945206</v>
      </c>
      <c r="I36" s="1" t="n">
        <f aca="false">01_Lease_Master!$P$8</f>
        <v>0.09</v>
      </c>
      <c r="J36" s="1" t="n">
        <f aca="false">IF(F36="NO",1,1/(1+I36)^H36)</f>
        <v>0.917864511983313</v>
      </c>
      <c r="K36" s="6" t="n">
        <f aca="false">IF(F36="NO",0,E36*J36)</f>
        <v>82607.8060784982</v>
      </c>
      <c r="L36" s="1" t="str">
        <f aca="false">IF(ABS(E36-E36)&lt;=01_Lease_Master!$AI$8,"PASS","CHECK")</f>
        <v>PASS</v>
      </c>
      <c r="M36" s="1" t="s">
        <v>126</v>
      </c>
    </row>
    <row r="37" customFormat="false" ht="15" hidden="false" customHeight="true" outlineLevel="0" collapsed="false">
      <c r="A37" s="1" t="s">
        <v>80</v>
      </c>
      <c r="B37" s="1" t="n">
        <v>0</v>
      </c>
      <c r="C37" s="1" t="n">
        <v>3</v>
      </c>
      <c r="D37" s="7" t="n">
        <v>46660</v>
      </c>
      <c r="E37" s="6" t="n">
        <f aca="false">((01_Lease_Master!$I$8)*EXP(IF(D37&gt;=20_Escalation_Schedule!$B$14,LN(1+20_Escalation_Schedule!$D$14),0)+IF(D37&gt;=20_Escalation_Schedule!$B$15,LN(1+20_Escalation_Schedule!$D$15),0)+IF(D37&gt;=20_Escalation_Schedule!$B$16,LN(1+20_Escalation_Schedule!$D$16),0)+IF(D37&gt;=20_Escalation_Schedule!$B$17,LN(1+20_Escalation_Schedule!$D$17),0)))</f>
        <v>94500</v>
      </c>
      <c r="F37" s="1" t="s">
        <v>126</v>
      </c>
      <c r="G37" s="1" t="n">
        <f aca="false">D37-01_Lease_Master!$D$8</f>
        <v>547</v>
      </c>
      <c r="H37" s="1" t="n">
        <f aca="false">G37/365</f>
        <v>1.4986301369863</v>
      </c>
      <c r="I37" s="1" t="n">
        <f aca="false">01_Lease_Master!$P$8</f>
        <v>0.09</v>
      </c>
      <c r="J37" s="1" t="n">
        <f aca="false">IF(F37="NO",1,1/(1+I37)^H37)</f>
        <v>0.878843453998335</v>
      </c>
      <c r="K37" s="6" t="n">
        <f aca="false">IF(F37="NO",0,E37*J37)</f>
        <v>83050.7064028427</v>
      </c>
      <c r="L37" s="1" t="str">
        <f aca="false">IF(ABS(E37-E37)&lt;=01_Lease_Master!$AI$8,"PASS","CHECK")</f>
        <v>PASS</v>
      </c>
      <c r="M37" s="1" t="s">
        <v>126</v>
      </c>
    </row>
    <row r="38" customFormat="false" ht="15" hidden="false" customHeight="true" outlineLevel="0" collapsed="false">
      <c r="A38" s="1" t="s">
        <v>80</v>
      </c>
      <c r="B38" s="1" t="n">
        <v>0</v>
      </c>
      <c r="C38" s="1" t="n">
        <v>4</v>
      </c>
      <c r="D38" s="7" t="n">
        <v>46842</v>
      </c>
      <c r="E38" s="6" t="n">
        <f aca="false">((01_Lease_Master!$I$8)*EXP(IF(D38&gt;=20_Escalation_Schedule!$B$14,LN(1+20_Escalation_Schedule!$D$14),0)+IF(D38&gt;=20_Escalation_Schedule!$B$15,LN(1+20_Escalation_Schedule!$D$15),0)+IF(D38&gt;=20_Escalation_Schedule!$B$16,LN(1+20_Escalation_Schedule!$D$16),0)+IF(D38&gt;=20_Escalation_Schedule!$B$17,LN(1+20_Escalation_Schedule!$D$17),0)))</f>
        <v>94500</v>
      </c>
      <c r="F38" s="1" t="s">
        <v>126</v>
      </c>
      <c r="G38" s="1" t="n">
        <f aca="false">D38-01_Lease_Master!$D$8</f>
        <v>729</v>
      </c>
      <c r="H38" s="1" t="n">
        <f aca="false">G38/365</f>
        <v>1.9972602739726</v>
      </c>
      <c r="I38" s="1" t="n">
        <f aca="false">01_Lease_Master!$P$8</f>
        <v>0.09</v>
      </c>
      <c r="J38" s="1" t="n">
        <f aca="false">IF(F38="NO",1,1/(1+I38)^H38)</f>
        <v>0.841878740132939</v>
      </c>
      <c r="K38" s="6" t="n">
        <f aca="false">IF(F38="NO",0,E38*J38)</f>
        <v>79557.5409425628</v>
      </c>
      <c r="L38" s="1" t="str">
        <f aca="false">IF(ABS(E38-E38)&lt;=01_Lease_Master!$AI$8,"PASS","CHECK")</f>
        <v>PASS</v>
      </c>
      <c r="M38" s="1" t="s">
        <v>126</v>
      </c>
    </row>
    <row r="39" customFormat="false" ht="15" hidden="false" customHeight="true" outlineLevel="0" collapsed="false">
      <c r="A39" s="1" t="s">
        <v>80</v>
      </c>
      <c r="B39" s="1" t="n">
        <v>0</v>
      </c>
      <c r="C39" s="1" t="n">
        <v>5</v>
      </c>
      <c r="D39" s="7" t="n">
        <v>47026</v>
      </c>
      <c r="E39" s="6" t="n">
        <f aca="false">((01_Lease_Master!$I$8)*EXP(IF(D39&gt;=20_Escalation_Schedule!$B$14,LN(1+20_Escalation_Schedule!$D$14),0)+IF(D39&gt;=20_Escalation_Schedule!$B$15,LN(1+20_Escalation_Schedule!$D$15),0)+IF(D39&gt;=20_Escalation_Schedule!$B$16,LN(1+20_Escalation_Schedule!$D$16),0)+IF(D39&gt;=20_Escalation_Schedule!$B$17,LN(1+20_Escalation_Schedule!$D$17),0)))</f>
        <v>99225</v>
      </c>
      <c r="F39" s="1" t="s">
        <v>126</v>
      </c>
      <c r="G39" s="1" t="n">
        <f aca="false">D39-01_Lease_Master!$D$8</f>
        <v>913</v>
      </c>
      <c r="H39" s="1" t="n">
        <f aca="false">G39/365</f>
        <v>2.5013698630137</v>
      </c>
      <c r="I39" s="1" t="n">
        <f aca="false">01_Lease_Master!$P$8</f>
        <v>0.09</v>
      </c>
      <c r="J39" s="1" t="n">
        <f aca="false">IF(F39="NO",1,1/(1+I39)^H39)</f>
        <v>0.806088055662457</v>
      </c>
      <c r="K39" s="6" t="n">
        <f aca="false">IF(F39="NO",0,E39*J39)</f>
        <v>79984.0873231073</v>
      </c>
      <c r="L39" s="1" t="str">
        <f aca="false">IF(ABS(E39-E39)&lt;=01_Lease_Master!$AI$8,"PASS","CHECK")</f>
        <v>PASS</v>
      </c>
      <c r="M39" s="1" t="s">
        <v>126</v>
      </c>
    </row>
    <row r="40" customFormat="false" ht="15" hidden="false" customHeight="true" outlineLevel="0" collapsed="false">
      <c r="A40" s="1" t="s">
        <v>80</v>
      </c>
      <c r="B40" s="1" t="n">
        <v>0</v>
      </c>
      <c r="C40" s="1" t="n">
        <v>6</v>
      </c>
      <c r="D40" s="7" t="n">
        <v>47207</v>
      </c>
      <c r="E40" s="6" t="n">
        <f aca="false">((01_Lease_Master!$I$8)*EXP(IF(D40&gt;=20_Escalation_Schedule!$B$14,LN(1+20_Escalation_Schedule!$D$14),0)+IF(D40&gt;=20_Escalation_Schedule!$B$15,LN(1+20_Escalation_Schedule!$D$15),0)+IF(D40&gt;=20_Escalation_Schedule!$B$16,LN(1+20_Escalation_Schedule!$D$16),0)+IF(D40&gt;=20_Escalation_Schedule!$B$17,LN(1+20_Escalation_Schedule!$D$17),0)))</f>
        <v>99225</v>
      </c>
      <c r="F40" s="1" t="s">
        <v>126</v>
      </c>
      <c r="G40" s="1" t="n">
        <f aca="false">D40-01_Lease_Master!$D$8</f>
        <v>1094</v>
      </c>
      <c r="H40" s="1" t="n">
        <f aca="false">G40/365</f>
        <v>2.9972602739726</v>
      </c>
      <c r="I40" s="1" t="n">
        <f aca="false">01_Lease_Master!$P$8</f>
        <v>0.09</v>
      </c>
      <c r="J40" s="1" t="n">
        <f aca="false">IF(F40="NO",1,1/(1+I40)^H40)</f>
        <v>0.772365816635724</v>
      </c>
      <c r="K40" s="6" t="n">
        <f aca="false">IF(F40="NO",0,E40*J40)</f>
        <v>76637.9981556797</v>
      </c>
      <c r="L40" s="1" t="str">
        <f aca="false">IF(ABS(E40-E40)&lt;=01_Lease_Master!$AI$8,"PASS","CHECK")</f>
        <v>PASS</v>
      </c>
      <c r="M40" s="1" t="s">
        <v>126</v>
      </c>
    </row>
    <row r="41" customFormat="false" ht="15" hidden="false" customHeight="true" outlineLevel="0" collapsed="false">
      <c r="A41" s="1" t="s">
        <v>80</v>
      </c>
      <c r="B41" s="1" t="n">
        <v>0</v>
      </c>
      <c r="C41" s="1" t="n">
        <v>7</v>
      </c>
      <c r="D41" s="7" t="n">
        <v>47391</v>
      </c>
      <c r="E41" s="6" t="n">
        <f aca="false">((01_Lease_Master!$I$8)*EXP(IF(D41&gt;=20_Escalation_Schedule!$B$14,LN(1+20_Escalation_Schedule!$D$14),0)+IF(D41&gt;=20_Escalation_Schedule!$B$15,LN(1+20_Escalation_Schedule!$D$15),0)+IF(D41&gt;=20_Escalation_Schedule!$B$16,LN(1+20_Escalation_Schedule!$D$16),0)+IF(D41&gt;=20_Escalation_Schedule!$B$17,LN(1+20_Escalation_Schedule!$D$17),0)))</f>
        <v>104186.25</v>
      </c>
      <c r="F41" s="1" t="s">
        <v>126</v>
      </c>
      <c r="G41" s="1" t="n">
        <f aca="false">D41-01_Lease_Master!$D$8</f>
        <v>1278</v>
      </c>
      <c r="H41" s="1" t="n">
        <f aca="false">G41/365</f>
        <v>3.5013698630137</v>
      </c>
      <c r="I41" s="1" t="n">
        <f aca="false">01_Lease_Master!$P$8</f>
        <v>0.09</v>
      </c>
      <c r="J41" s="1" t="n">
        <f aca="false">IF(F41="NO",1,1/(1+I41)^H41)</f>
        <v>0.739530326295832</v>
      </c>
      <c r="K41" s="6" t="n">
        <f aca="false">IF(F41="NO",0,E41*J41)</f>
        <v>77048.8914580392</v>
      </c>
      <c r="L41" s="1" t="str">
        <f aca="false">IF(ABS(E41-E41)&lt;=01_Lease_Master!$AI$8,"PASS","CHECK")</f>
        <v>PASS</v>
      </c>
      <c r="M41" s="1" t="s">
        <v>126</v>
      </c>
    </row>
    <row r="42" customFormat="false" ht="15" hidden="false" customHeight="true" outlineLevel="0" collapsed="false">
      <c r="A42" s="1" t="s">
        <v>80</v>
      </c>
      <c r="B42" s="1" t="n">
        <v>0</v>
      </c>
      <c r="C42" s="1" t="n">
        <v>8</v>
      </c>
      <c r="D42" s="7" t="n">
        <v>47572</v>
      </c>
      <c r="E42" s="6" t="n">
        <f aca="false">((01_Lease_Master!$I$8)*EXP(IF(D42&gt;=20_Escalation_Schedule!$B$14,LN(1+20_Escalation_Schedule!$D$14),0)+IF(D42&gt;=20_Escalation_Schedule!$B$15,LN(1+20_Escalation_Schedule!$D$15),0)+IF(D42&gt;=20_Escalation_Schedule!$B$16,LN(1+20_Escalation_Schedule!$D$16),0)+IF(D42&gt;=20_Escalation_Schedule!$B$17,LN(1+20_Escalation_Schedule!$D$17),0)))</f>
        <v>104186.25</v>
      </c>
      <c r="F42" s="1" t="s">
        <v>126</v>
      </c>
      <c r="G42" s="1" t="n">
        <f aca="false">D42-01_Lease_Master!$D$8</f>
        <v>1459</v>
      </c>
      <c r="H42" s="1" t="n">
        <f aca="false">G42/365</f>
        <v>3.9972602739726</v>
      </c>
      <c r="I42" s="1" t="n">
        <f aca="false">01_Lease_Master!$P$8</f>
        <v>0.09</v>
      </c>
      <c r="J42" s="1" t="n">
        <f aca="false">IF(F42="NO",1,1/(1+I42)^H42)</f>
        <v>0.708592492326352</v>
      </c>
      <c r="K42" s="6" t="n">
        <f aca="false">IF(F42="NO",0,E42*J42)</f>
        <v>73825.5945536364</v>
      </c>
      <c r="L42" s="1" t="str">
        <f aca="false">IF(ABS(E42-E42)&lt;=01_Lease_Master!$AI$8,"PASS","CHECK")</f>
        <v>PASS</v>
      </c>
      <c r="M42" s="1" t="s">
        <v>126</v>
      </c>
    </row>
    <row r="43" customFormat="false" ht="15" hidden="false" customHeight="true" outlineLevel="0" collapsed="false">
      <c r="A43" s="1" t="s">
        <v>80</v>
      </c>
      <c r="B43" s="1" t="n">
        <v>0</v>
      </c>
      <c r="C43" s="1" t="n">
        <v>9</v>
      </c>
      <c r="D43" s="7" t="n">
        <v>47756</v>
      </c>
      <c r="E43" s="6" t="n">
        <f aca="false">((01_Lease_Master!$I$8)*EXP(IF(D43&gt;=20_Escalation_Schedule!$B$14,LN(1+20_Escalation_Schedule!$D$14),0)+IF(D43&gt;=20_Escalation_Schedule!$B$15,LN(1+20_Escalation_Schedule!$D$15),0)+IF(D43&gt;=20_Escalation_Schedule!$B$16,LN(1+20_Escalation_Schedule!$D$16),0)+IF(D43&gt;=20_Escalation_Schedule!$B$17,LN(1+20_Escalation_Schedule!$D$17),0)))</f>
        <v>109395.5625</v>
      </c>
      <c r="F43" s="1" t="s">
        <v>126</v>
      </c>
      <c r="G43" s="1" t="n">
        <f aca="false">D43-01_Lease_Master!$D$8</f>
        <v>1643</v>
      </c>
      <c r="H43" s="1" t="n">
        <f aca="false">G43/365</f>
        <v>4.5013698630137</v>
      </c>
      <c r="I43" s="1" t="n">
        <f aca="false">01_Lease_Master!$P$8</f>
        <v>0.09</v>
      </c>
      <c r="J43" s="1" t="n">
        <f aca="false">IF(F43="NO",1,1/(1+I43)^H43)</f>
        <v>0.678468189262232</v>
      </c>
      <c r="K43" s="6" t="n">
        <f aca="false">IF(F43="NO",0,E43*J43)</f>
        <v>74221.4092026983</v>
      </c>
      <c r="L43" s="1" t="str">
        <f aca="false">IF(ABS(E43-E43)&lt;=01_Lease_Master!$AI$8,"PASS","CHECK")</f>
        <v>PASS</v>
      </c>
      <c r="M43" s="1" t="s">
        <v>126</v>
      </c>
    </row>
    <row r="44" customFormat="false" ht="15" hidden="false" customHeight="true" outlineLevel="0" collapsed="false">
      <c r="A44" s="1" t="s">
        <v>80</v>
      </c>
      <c r="B44" s="1" t="n">
        <v>0</v>
      </c>
      <c r="C44" s="1" t="n">
        <v>10</v>
      </c>
      <c r="D44" s="7" t="n">
        <v>47937</v>
      </c>
      <c r="E44" s="6" t="n">
        <f aca="false">((01_Lease_Master!$I$8)*EXP(IF(D44&gt;=20_Escalation_Schedule!$B$14,LN(1+20_Escalation_Schedule!$D$14),0)+IF(D44&gt;=20_Escalation_Schedule!$B$15,LN(1+20_Escalation_Schedule!$D$15),0)+IF(D44&gt;=20_Escalation_Schedule!$B$16,LN(1+20_Escalation_Schedule!$D$16),0)+IF(D44&gt;=20_Escalation_Schedule!$B$17,LN(1+20_Escalation_Schedule!$D$17),0)))</f>
        <v>109395.5625</v>
      </c>
      <c r="F44" s="1" t="s">
        <v>126</v>
      </c>
      <c r="G44" s="1" t="n">
        <f aca="false">D44-01_Lease_Master!$D$8</f>
        <v>1824</v>
      </c>
      <c r="H44" s="1" t="n">
        <f aca="false">G44/365</f>
        <v>4.9972602739726</v>
      </c>
      <c r="I44" s="1" t="n">
        <f aca="false">01_Lease_Master!$P$8</f>
        <v>0.09</v>
      </c>
      <c r="J44" s="1" t="n">
        <f aca="false">IF(F44="NO",1,1/(1+I44)^H44)</f>
        <v>0.650084855345277</v>
      </c>
      <c r="K44" s="6" t="n">
        <f aca="false">IF(F44="NO",0,E44*J44)</f>
        <v>71116.3984232277</v>
      </c>
      <c r="L44" s="1" t="str">
        <f aca="false">IF(ABS(E44-E44)&lt;=01_Lease_Master!$AI$8,"PASS","CHECK")</f>
        <v>PASS</v>
      </c>
      <c r="M44" s="1" t="s">
        <v>126</v>
      </c>
    </row>
    <row r="45" customFormat="false" ht="15" hidden="false" customHeight="true" outlineLevel="0" collapsed="false">
      <c r="A45" s="1" t="s">
        <v>84</v>
      </c>
      <c r="B45" s="1" t="n">
        <v>0</v>
      </c>
      <c r="C45" s="1" t="n">
        <v>1</v>
      </c>
      <c r="D45" s="7" t="n">
        <v>45703</v>
      </c>
      <c r="E45" s="6" t="n">
        <f aca="false">01_Lease_Master!$I$9</f>
        <v>55000</v>
      </c>
      <c r="F45" s="1" t="s">
        <v>126</v>
      </c>
      <c r="G45" s="1" t="n">
        <f aca="false">D45-01_Lease_Master!$D$9</f>
        <v>31</v>
      </c>
      <c r="H45" s="1" t="n">
        <f aca="false">G45/365</f>
        <v>0.0849315068493151</v>
      </c>
      <c r="I45" s="1" t="n">
        <f aca="false">01_Lease_Master!$P$9</f>
        <v>0.11</v>
      </c>
      <c r="J45" s="1" t="n">
        <f aca="false">IF(F45="NO",1,1/(1+I45)^H45)</f>
        <v>0.991175711249758</v>
      </c>
      <c r="K45" s="6" t="n">
        <f aca="false">IF(F45="NO",0,E45*J45)</f>
        <v>54514.6641187367</v>
      </c>
      <c r="L45" s="1" t="str">
        <f aca="false">IF(ABS(E45-E45)&lt;=01_Lease_Master!$AI$9,"PASS","CHECK")</f>
        <v>PASS</v>
      </c>
      <c r="M45" s="1" t="s">
        <v>126</v>
      </c>
    </row>
    <row r="46" customFormat="false" ht="15" hidden="false" customHeight="true" outlineLevel="0" collapsed="false">
      <c r="A46" s="1" t="s">
        <v>84</v>
      </c>
      <c r="B46" s="1" t="n">
        <v>0</v>
      </c>
      <c r="C46" s="1" t="n">
        <v>2</v>
      </c>
      <c r="D46" s="7" t="n">
        <v>45731</v>
      </c>
      <c r="E46" s="6" t="n">
        <f aca="false">01_Lease_Master!$I$9</f>
        <v>55000</v>
      </c>
      <c r="F46" s="1" t="s">
        <v>126</v>
      </c>
      <c r="G46" s="1" t="n">
        <f aca="false">D46-01_Lease_Master!$D$9</f>
        <v>59</v>
      </c>
      <c r="H46" s="1" t="n">
        <f aca="false">G46/365</f>
        <v>0.161643835616438</v>
      </c>
      <c r="I46" s="1" t="n">
        <f aca="false">01_Lease_Master!$P$9</f>
        <v>0.11</v>
      </c>
      <c r="J46" s="1" t="n">
        <f aca="false">IF(F46="NO",1,1/(1+I46)^H46)</f>
        <v>0.98327233429386</v>
      </c>
      <c r="K46" s="6" t="n">
        <f aca="false">IF(F46="NO",0,E46*J46)</f>
        <v>54079.9783861623</v>
      </c>
      <c r="L46" s="1" t="str">
        <f aca="false">IF(ABS(E46-E46)&lt;=01_Lease_Master!$AI$9,"PASS","CHECK")</f>
        <v>PASS</v>
      </c>
      <c r="M46" s="1" t="s">
        <v>126</v>
      </c>
    </row>
    <row r="47" customFormat="false" ht="15" hidden="false" customHeight="true" outlineLevel="0" collapsed="false">
      <c r="A47" s="1" t="s">
        <v>84</v>
      </c>
      <c r="B47" s="1" t="n">
        <v>0</v>
      </c>
      <c r="C47" s="1" t="n">
        <v>3</v>
      </c>
      <c r="D47" s="7" t="n">
        <v>45762</v>
      </c>
      <c r="E47" s="6" t="n">
        <f aca="false">01_Lease_Master!$I$9</f>
        <v>55000</v>
      </c>
      <c r="F47" s="1" t="s">
        <v>126</v>
      </c>
      <c r="G47" s="1" t="n">
        <f aca="false">D47-01_Lease_Master!$D$9</f>
        <v>90</v>
      </c>
      <c r="H47" s="1" t="n">
        <f aca="false">G47/365</f>
        <v>0.246575342465753</v>
      </c>
      <c r="I47" s="1" t="n">
        <f aca="false">01_Lease_Master!$P$9</f>
        <v>0.11</v>
      </c>
      <c r="J47" s="1" t="n">
        <f aca="false">IF(F47="NO",1,1/(1+I47)^H47)</f>
        <v>0.974595655295927</v>
      </c>
      <c r="K47" s="6" t="n">
        <f aca="false">IF(F47="NO",0,E47*J47)</f>
        <v>53602.761041276</v>
      </c>
      <c r="L47" s="1" t="str">
        <f aca="false">IF(ABS(E47-E47)&lt;=01_Lease_Master!$AI$9,"PASS","CHECK")</f>
        <v>PASS</v>
      </c>
      <c r="M47" s="1" t="s">
        <v>126</v>
      </c>
    </row>
    <row r="48" customFormat="false" ht="15" hidden="false" customHeight="true" outlineLevel="0" collapsed="false">
      <c r="A48" s="1" t="s">
        <v>84</v>
      </c>
      <c r="B48" s="1" t="n">
        <v>0</v>
      </c>
      <c r="C48" s="1" t="n">
        <v>4</v>
      </c>
      <c r="D48" s="7" t="n">
        <v>45792</v>
      </c>
      <c r="E48" s="6" t="n">
        <f aca="false">01_Lease_Master!$I$9</f>
        <v>55000</v>
      </c>
      <c r="F48" s="1" t="s">
        <v>126</v>
      </c>
      <c r="G48" s="1" t="n">
        <f aca="false">D48-01_Lease_Master!$D$9</f>
        <v>120</v>
      </c>
      <c r="H48" s="1" t="n">
        <f aca="false">G48/365</f>
        <v>0.328767123287671</v>
      </c>
      <c r="I48" s="1" t="n">
        <f aca="false">01_Lease_Master!$P$9</f>
        <v>0.11</v>
      </c>
      <c r="J48" s="1" t="n">
        <f aca="false">IF(F48="NO",1,1/(1+I48)^H48)</f>
        <v>0.966271776675844</v>
      </c>
      <c r="K48" s="6" t="n">
        <f aca="false">IF(F48="NO",0,E48*J48)</f>
        <v>53144.9477171714</v>
      </c>
      <c r="L48" s="1" t="str">
        <f aca="false">IF(ABS(E48-E48)&lt;=01_Lease_Master!$AI$9,"PASS","CHECK")</f>
        <v>PASS</v>
      </c>
      <c r="M48" s="1" t="s">
        <v>126</v>
      </c>
    </row>
    <row r="49" customFormat="false" ht="15" hidden="false" customHeight="true" outlineLevel="0" collapsed="false">
      <c r="A49" s="1" t="s">
        <v>84</v>
      </c>
      <c r="B49" s="1" t="n">
        <v>0</v>
      </c>
      <c r="C49" s="1" t="n">
        <v>5</v>
      </c>
      <c r="D49" s="7" t="n">
        <v>45823</v>
      </c>
      <c r="E49" s="6" t="n">
        <f aca="false">01_Lease_Master!$I$9</f>
        <v>55000</v>
      </c>
      <c r="F49" s="1" t="s">
        <v>126</v>
      </c>
      <c r="G49" s="1" t="n">
        <f aca="false">D49-01_Lease_Master!$D$9</f>
        <v>151</v>
      </c>
      <c r="H49" s="1" t="n">
        <f aca="false">G49/365</f>
        <v>0.413698630136986</v>
      </c>
      <c r="I49" s="1" t="n">
        <f aca="false">01_Lease_Master!$P$9</f>
        <v>0.11</v>
      </c>
      <c r="J49" s="1" t="n">
        <f aca="false">IF(F49="NO",1,1/(1+I49)^H49)</f>
        <v>0.957745115507247</v>
      </c>
      <c r="K49" s="6" t="n">
        <f aca="false">IF(F49="NO",0,E49*J49)</f>
        <v>52675.9813528986</v>
      </c>
      <c r="L49" s="1" t="str">
        <f aca="false">IF(ABS(E49-E49)&lt;=01_Lease_Master!$AI$9,"PASS","CHECK")</f>
        <v>PASS</v>
      </c>
      <c r="M49" s="1" t="s">
        <v>126</v>
      </c>
    </row>
    <row r="50" customFormat="false" ht="15" hidden="false" customHeight="true" outlineLevel="0" collapsed="false">
      <c r="A50" s="1" t="s">
        <v>84</v>
      </c>
      <c r="B50" s="1" t="n">
        <v>0</v>
      </c>
      <c r="C50" s="1" t="n">
        <v>6</v>
      </c>
      <c r="D50" s="7" t="n">
        <v>45853</v>
      </c>
      <c r="E50" s="6" t="n">
        <f aca="false">01_Lease_Master!$I$9</f>
        <v>55000</v>
      </c>
      <c r="F50" s="1" t="s">
        <v>126</v>
      </c>
      <c r="G50" s="1" t="n">
        <f aca="false">D50-01_Lease_Master!$D$9</f>
        <v>181</v>
      </c>
      <c r="H50" s="1" t="n">
        <f aca="false">G50/365</f>
        <v>0.495890410958904</v>
      </c>
      <c r="I50" s="1" t="n">
        <f aca="false">01_Lease_Master!$P$9</f>
        <v>0.11</v>
      </c>
      <c r="J50" s="1" t="n">
        <f aca="false">IF(F50="NO",1,1/(1+I50)^H50)</f>
        <v>0.949565154877278</v>
      </c>
      <c r="K50" s="6" t="n">
        <f aca="false">IF(F50="NO",0,E50*J50)</f>
        <v>52226.0835182503</v>
      </c>
      <c r="L50" s="1" t="str">
        <f aca="false">IF(ABS(E50-E50)&lt;=01_Lease_Master!$AI$9,"PASS","CHECK")</f>
        <v>PASS</v>
      </c>
      <c r="M50" s="1" t="s">
        <v>126</v>
      </c>
    </row>
    <row r="51" customFormat="false" ht="15" hidden="false" customHeight="true" outlineLevel="0" collapsed="false">
      <c r="A51" s="1" t="s">
        <v>84</v>
      </c>
      <c r="B51" s="1" t="n">
        <v>0</v>
      </c>
      <c r="C51" s="1" t="n">
        <v>7</v>
      </c>
      <c r="D51" s="7" t="n">
        <v>45884</v>
      </c>
      <c r="E51" s="6" t="n">
        <f aca="false">01_Lease_Master!$I$9</f>
        <v>55000</v>
      </c>
      <c r="F51" s="1" t="s">
        <v>126</v>
      </c>
      <c r="G51" s="1" t="n">
        <f aca="false">D51-01_Lease_Master!$D$9</f>
        <v>212</v>
      </c>
      <c r="H51" s="1" t="n">
        <f aca="false">G51/365</f>
        <v>0.580821917808219</v>
      </c>
      <c r="I51" s="1" t="n">
        <f aca="false">01_Lease_Master!$P$9</f>
        <v>0.11</v>
      </c>
      <c r="J51" s="1" t="n">
        <f aca="false">IF(F51="NO",1,1/(1+I51)^H51)</f>
        <v>0.941185917763473</v>
      </c>
      <c r="K51" s="6" t="n">
        <f aca="false">IF(F51="NO",0,E51*J51)</f>
        <v>51765.225476991</v>
      </c>
      <c r="L51" s="1" t="str">
        <f aca="false">IF(ABS(E51-E51)&lt;=01_Lease_Master!$AI$9,"PASS","CHECK")</f>
        <v>PASS</v>
      </c>
      <c r="M51" s="1" t="s">
        <v>126</v>
      </c>
    </row>
    <row r="52" customFormat="false" ht="15" hidden="false" customHeight="true" outlineLevel="0" collapsed="false">
      <c r="A52" s="1" t="s">
        <v>84</v>
      </c>
      <c r="B52" s="1" t="n">
        <v>0</v>
      </c>
      <c r="C52" s="1" t="n">
        <v>8</v>
      </c>
      <c r="D52" s="7" t="n">
        <v>45915</v>
      </c>
      <c r="E52" s="6" t="n">
        <f aca="false">01_Lease_Master!$I$9</f>
        <v>55000</v>
      </c>
      <c r="F52" s="1" t="s">
        <v>126</v>
      </c>
      <c r="G52" s="1" t="n">
        <f aca="false">D52-01_Lease_Master!$D$9</f>
        <v>243</v>
      </c>
      <c r="H52" s="1" t="n">
        <f aca="false">G52/365</f>
        <v>0.665753424657534</v>
      </c>
      <c r="I52" s="1" t="n">
        <f aca="false">01_Lease_Master!$P$9</f>
        <v>0.11</v>
      </c>
      <c r="J52" s="1" t="n">
        <f aca="false">IF(F52="NO",1,1/(1+I52)^H52)</f>
        <v>0.932880621457466</v>
      </c>
      <c r="K52" s="6" t="n">
        <f aca="false">IF(F52="NO",0,E52*J52)</f>
        <v>51308.4341801607</v>
      </c>
      <c r="L52" s="1" t="str">
        <f aca="false">IF(ABS(E52-E52)&lt;=01_Lease_Master!$AI$9,"PASS","CHECK")</f>
        <v>PASS</v>
      </c>
      <c r="M52" s="1" t="s">
        <v>126</v>
      </c>
    </row>
    <row r="53" customFormat="false" ht="15" hidden="false" customHeight="true" outlineLevel="0" collapsed="false">
      <c r="A53" s="1" t="s">
        <v>84</v>
      </c>
      <c r="B53" s="1" t="n">
        <v>0</v>
      </c>
      <c r="C53" s="1" t="n">
        <v>9</v>
      </c>
      <c r="D53" s="7" t="n">
        <v>45945</v>
      </c>
      <c r="E53" s="6" t="n">
        <f aca="false">01_Lease_Master!$I$9</f>
        <v>55000</v>
      </c>
      <c r="F53" s="1" t="s">
        <v>126</v>
      </c>
      <c r="G53" s="1" t="n">
        <f aca="false">D53-01_Lease_Master!$D$9</f>
        <v>273</v>
      </c>
      <c r="H53" s="1" t="n">
        <f aca="false">G53/365</f>
        <v>0.747945205479452</v>
      </c>
      <c r="I53" s="1" t="n">
        <f aca="false">01_Lease_Master!$P$9</f>
        <v>0.11</v>
      </c>
      <c r="J53" s="1" t="n">
        <f aca="false">IF(F53="NO",1,1/(1+I53)^H53)</f>
        <v>0.924913024826142</v>
      </c>
      <c r="K53" s="6" t="n">
        <f aca="false">IF(F53="NO",0,E53*J53)</f>
        <v>50870.2163654378</v>
      </c>
      <c r="L53" s="1" t="str">
        <f aca="false">IF(ABS(E53-E53)&lt;=01_Lease_Master!$AI$9,"PASS","CHECK")</f>
        <v>PASS</v>
      </c>
      <c r="M53" s="1" t="s">
        <v>126</v>
      </c>
    </row>
    <row r="54" customFormat="false" ht="15" hidden="false" customHeight="true" outlineLevel="0" collapsed="false">
      <c r="A54" s="1" t="s">
        <v>84</v>
      </c>
      <c r="B54" s="1" t="n">
        <v>0</v>
      </c>
      <c r="C54" s="1" t="n">
        <v>10</v>
      </c>
      <c r="D54" s="7" t="n">
        <v>45976</v>
      </c>
      <c r="E54" s="6" t="n">
        <f aca="false">01_Lease_Master!$I$9</f>
        <v>55000</v>
      </c>
      <c r="F54" s="1" t="s">
        <v>126</v>
      </c>
      <c r="G54" s="1" t="n">
        <f aca="false">D54-01_Lease_Master!$D$9</f>
        <v>304</v>
      </c>
      <c r="H54" s="1" t="n">
        <f aca="false">G54/365</f>
        <v>0.832876712328767</v>
      </c>
      <c r="I54" s="1" t="n">
        <f aca="false">01_Lease_Master!$P$9</f>
        <v>0.11</v>
      </c>
      <c r="J54" s="1" t="n">
        <f aca="false">IF(F54="NO",1,1/(1+I54)^H54)</f>
        <v>0.916751325226216</v>
      </c>
      <c r="K54" s="6" t="n">
        <f aca="false">IF(F54="NO",0,E54*J54)</f>
        <v>50421.3228874419</v>
      </c>
      <c r="L54" s="1" t="str">
        <f aca="false">IF(ABS(E54-E54)&lt;=01_Lease_Master!$AI$9,"PASS","CHECK")</f>
        <v>PASS</v>
      </c>
      <c r="M54" s="1" t="s">
        <v>126</v>
      </c>
    </row>
    <row r="55" customFormat="false" ht="15" hidden="false" customHeight="true" outlineLevel="0" collapsed="false">
      <c r="A55" s="1" t="s">
        <v>84</v>
      </c>
      <c r="B55" s="1" t="n">
        <v>0</v>
      </c>
      <c r="C55" s="1" t="n">
        <v>11</v>
      </c>
      <c r="D55" s="7" t="n">
        <v>46006</v>
      </c>
      <c r="E55" s="6" t="n">
        <f aca="false">01_Lease_Master!$I$9</f>
        <v>55000</v>
      </c>
      <c r="F55" s="1" t="s">
        <v>126</v>
      </c>
      <c r="G55" s="1" t="n">
        <f aca="false">D55-01_Lease_Master!$D$9</f>
        <v>334</v>
      </c>
      <c r="H55" s="1" t="n">
        <f aca="false">G55/365</f>
        <v>0.915068493150685</v>
      </c>
      <c r="I55" s="1" t="n">
        <f aca="false">01_Lease_Master!$P$9</f>
        <v>0.11</v>
      </c>
      <c r="J55" s="1" t="n">
        <f aca="false">IF(F55="NO",1,1/(1+I55)^H55)</f>
        <v>0.908921486549513</v>
      </c>
      <c r="K55" s="6" t="n">
        <f aca="false">IF(F55="NO",0,E55*J55)</f>
        <v>49990.6817602232</v>
      </c>
      <c r="L55" s="1" t="str">
        <f aca="false">IF(ABS(E55-E55)&lt;=01_Lease_Master!$AI$9,"PASS","CHECK")</f>
        <v>PASS</v>
      </c>
      <c r="M55" s="1" t="s">
        <v>126</v>
      </c>
    </row>
    <row r="56" customFormat="false" ht="15" hidden="false" customHeight="true" outlineLevel="0" collapsed="false">
      <c r="A56" s="1" t="s">
        <v>84</v>
      </c>
      <c r="B56" s="1" t="n">
        <v>0</v>
      </c>
      <c r="C56" s="1" t="n">
        <v>12</v>
      </c>
      <c r="D56" s="7" t="n">
        <v>46037</v>
      </c>
      <c r="E56" s="6" t="n">
        <f aca="false">01_Lease_Master!$I$9</f>
        <v>55000</v>
      </c>
      <c r="F56" s="1" t="s">
        <v>126</v>
      </c>
      <c r="G56" s="1" t="n">
        <f aca="false">D56-01_Lease_Master!$D$9</f>
        <v>365</v>
      </c>
      <c r="H56" s="1" t="n">
        <f aca="false">G56/365</f>
        <v>1</v>
      </c>
      <c r="I56" s="1" t="n">
        <f aca="false">01_Lease_Master!$P$9</f>
        <v>0.11</v>
      </c>
      <c r="J56" s="1" t="n">
        <f aca="false">IF(F56="NO",1,1/(1+I56)^H56)</f>
        <v>0.900900900900901</v>
      </c>
      <c r="K56" s="6" t="n">
        <f aca="false">IF(F56="NO",0,E56*J56)</f>
        <v>49549.5495495495</v>
      </c>
      <c r="L56" s="1" t="str">
        <f aca="false">IF(ABS(E56-E56)&lt;=01_Lease_Master!$AI$9,"PASS","CHECK")</f>
        <v>PASS</v>
      </c>
      <c r="M56" s="1" t="s">
        <v>126</v>
      </c>
    </row>
    <row r="57" customFormat="false" ht="15" hidden="false" customHeight="true" outlineLevel="0" collapsed="false">
      <c r="A57" s="1" t="s">
        <v>84</v>
      </c>
      <c r="B57" s="1" t="n">
        <v>0</v>
      </c>
      <c r="C57" s="1" t="n">
        <v>13</v>
      </c>
      <c r="D57" s="7" t="n">
        <v>46068</v>
      </c>
      <c r="E57" s="6" t="n">
        <f aca="false">01_Lease_Master!$I$9</f>
        <v>55000</v>
      </c>
      <c r="F57" s="1" t="s">
        <v>126</v>
      </c>
      <c r="G57" s="1" t="n">
        <f aca="false">D57-01_Lease_Master!$D$9</f>
        <v>396</v>
      </c>
      <c r="H57" s="1" t="n">
        <f aca="false">G57/365</f>
        <v>1.08493150684932</v>
      </c>
      <c r="I57" s="1" t="n">
        <f aca="false">01_Lease_Master!$P$9</f>
        <v>0.11</v>
      </c>
      <c r="J57" s="1" t="n">
        <f aca="false">IF(F57="NO",1,1/(1+I57)^H57)</f>
        <v>0.892951091215998</v>
      </c>
      <c r="K57" s="6" t="n">
        <f aca="false">IF(F57="NO",0,E57*J57)</f>
        <v>49112.3100168799</v>
      </c>
      <c r="L57" s="1" t="str">
        <f aca="false">IF(ABS(E57-E57)&lt;=01_Lease_Master!$AI$9,"PASS","CHECK")</f>
        <v>PASS</v>
      </c>
      <c r="M57" s="1" t="s">
        <v>126</v>
      </c>
    </row>
    <row r="58" customFormat="false" ht="15" hidden="false" customHeight="true" outlineLevel="0" collapsed="false">
      <c r="A58" s="1" t="s">
        <v>84</v>
      </c>
      <c r="B58" s="1" t="n">
        <v>0</v>
      </c>
      <c r="C58" s="1" t="n">
        <v>14</v>
      </c>
      <c r="D58" s="7" t="n">
        <v>46096</v>
      </c>
      <c r="E58" s="6" t="n">
        <f aca="false">01_Lease_Master!$I$9</f>
        <v>55000</v>
      </c>
      <c r="F58" s="1" t="s">
        <v>126</v>
      </c>
      <c r="G58" s="1" t="n">
        <f aca="false">D58-01_Lease_Master!$D$9</f>
        <v>424</v>
      </c>
      <c r="H58" s="1" t="n">
        <f aca="false">G58/365</f>
        <v>1.16164383561644</v>
      </c>
      <c r="I58" s="1" t="n">
        <f aca="false">01_Lease_Master!$P$9</f>
        <v>0.11</v>
      </c>
      <c r="J58" s="1" t="n">
        <f aca="false">IF(F58="NO",1,1/(1+I58)^H58)</f>
        <v>0.88583093179627</v>
      </c>
      <c r="K58" s="6" t="n">
        <f aca="false">IF(F58="NO",0,E58*J58)</f>
        <v>48720.7012487949</v>
      </c>
      <c r="L58" s="1" t="str">
        <f aca="false">IF(ABS(E58-E58)&lt;=01_Lease_Master!$AI$9,"PASS","CHECK")</f>
        <v>PASS</v>
      </c>
      <c r="M58" s="1" t="s">
        <v>126</v>
      </c>
    </row>
    <row r="59" customFormat="false" ht="15" hidden="false" customHeight="true" outlineLevel="0" collapsed="false">
      <c r="A59" s="1" t="s">
        <v>84</v>
      </c>
      <c r="B59" s="1" t="n">
        <v>0</v>
      </c>
      <c r="C59" s="1" t="n">
        <v>15</v>
      </c>
      <c r="D59" s="7" t="n">
        <v>46127</v>
      </c>
      <c r="E59" s="6" t="n">
        <f aca="false">01_Lease_Master!$I$9</f>
        <v>55000</v>
      </c>
      <c r="F59" s="1" t="s">
        <v>126</v>
      </c>
      <c r="G59" s="1" t="n">
        <f aca="false">D59-01_Lease_Master!$D$9</f>
        <v>455</v>
      </c>
      <c r="H59" s="1" t="n">
        <f aca="false">G59/365</f>
        <v>1.24657534246575</v>
      </c>
      <c r="I59" s="1" t="n">
        <f aca="false">01_Lease_Master!$P$9</f>
        <v>0.11</v>
      </c>
      <c r="J59" s="1" t="n">
        <f aca="false">IF(F59="NO",1,1/(1+I59)^H59)</f>
        <v>0.878014103870204</v>
      </c>
      <c r="K59" s="6" t="n">
        <f aca="false">IF(F59="NO",0,E59*J59)</f>
        <v>48290.7757128612</v>
      </c>
      <c r="L59" s="1" t="str">
        <f aca="false">IF(ABS(E59-E59)&lt;=01_Lease_Master!$AI$9,"PASS","CHECK")</f>
        <v>PASS</v>
      </c>
      <c r="M59" s="1" t="s">
        <v>126</v>
      </c>
    </row>
    <row r="60" customFormat="false" ht="15" hidden="false" customHeight="true" outlineLevel="0" collapsed="false">
      <c r="A60" s="1" t="s">
        <v>84</v>
      </c>
      <c r="B60" s="1" t="n">
        <v>0</v>
      </c>
      <c r="C60" s="1" t="n">
        <v>16</v>
      </c>
      <c r="D60" s="7" t="n">
        <v>46157</v>
      </c>
      <c r="E60" s="6" t="n">
        <f aca="false">01_Lease_Master!$I$9</f>
        <v>55000</v>
      </c>
      <c r="F60" s="1" t="s">
        <v>126</v>
      </c>
      <c r="G60" s="1" t="n">
        <f aca="false">D60-01_Lease_Master!$D$9</f>
        <v>485</v>
      </c>
      <c r="H60" s="1" t="n">
        <f aca="false">G60/365</f>
        <v>1.32876712328767</v>
      </c>
      <c r="I60" s="1" t="n">
        <f aca="false">01_Lease_Master!$P$9</f>
        <v>0.11</v>
      </c>
      <c r="J60" s="1" t="n">
        <f aca="false">IF(F60="NO",1,1/(1+I60)^H60)</f>
        <v>0.870515114122382</v>
      </c>
      <c r="K60" s="6" t="n">
        <f aca="false">IF(F60="NO",0,E60*J60)</f>
        <v>47878.331276731</v>
      </c>
      <c r="L60" s="1" t="str">
        <f aca="false">IF(ABS(E60-E60)&lt;=01_Lease_Master!$AI$9,"PASS","CHECK")</f>
        <v>PASS</v>
      </c>
      <c r="M60" s="1" t="s">
        <v>126</v>
      </c>
    </row>
    <row r="61" customFormat="false" ht="15" hidden="false" customHeight="true" outlineLevel="0" collapsed="false">
      <c r="A61" s="1" t="s">
        <v>84</v>
      </c>
      <c r="B61" s="1" t="n">
        <v>0</v>
      </c>
      <c r="C61" s="1" t="n">
        <v>17</v>
      </c>
      <c r="D61" s="7" t="n">
        <v>46188</v>
      </c>
      <c r="E61" s="6" t="n">
        <f aca="false">01_Lease_Master!$I$9</f>
        <v>55000</v>
      </c>
      <c r="F61" s="1" t="s">
        <v>126</v>
      </c>
      <c r="G61" s="1" t="n">
        <f aca="false">D61-01_Lease_Master!$D$9</f>
        <v>516</v>
      </c>
      <c r="H61" s="1" t="n">
        <f aca="false">G61/365</f>
        <v>1.41369863013699</v>
      </c>
      <c r="I61" s="1" t="n">
        <f aca="false">01_Lease_Master!$P$9</f>
        <v>0.11</v>
      </c>
      <c r="J61" s="1" t="n">
        <f aca="false">IF(F61="NO",1,1/(1+I61)^H61)</f>
        <v>0.862833437393916</v>
      </c>
      <c r="K61" s="6" t="n">
        <f aca="false">IF(F61="NO",0,E61*J61)</f>
        <v>47455.8390566654</v>
      </c>
      <c r="L61" s="1" t="str">
        <f aca="false">IF(ABS(E61-E61)&lt;=01_Lease_Master!$AI$9,"PASS","CHECK")</f>
        <v>PASS</v>
      </c>
      <c r="M61" s="1" t="s">
        <v>126</v>
      </c>
    </row>
    <row r="62" customFormat="false" ht="15" hidden="false" customHeight="true" outlineLevel="0" collapsed="false">
      <c r="A62" s="1" t="s">
        <v>84</v>
      </c>
      <c r="B62" s="1" t="n">
        <v>0</v>
      </c>
      <c r="C62" s="1" t="n">
        <v>18</v>
      </c>
      <c r="D62" s="7" t="n">
        <v>46218</v>
      </c>
      <c r="E62" s="6" t="n">
        <f aca="false">01_Lease_Master!$I$9</f>
        <v>55000</v>
      </c>
      <c r="F62" s="1" t="s">
        <v>126</v>
      </c>
      <c r="G62" s="1" t="n">
        <f aca="false">D62-01_Lease_Master!$D$9</f>
        <v>546</v>
      </c>
      <c r="H62" s="1" t="n">
        <f aca="false">G62/365</f>
        <v>1.4958904109589</v>
      </c>
      <c r="I62" s="1" t="n">
        <f aca="false">01_Lease_Master!$P$9</f>
        <v>0.11</v>
      </c>
      <c r="J62" s="1" t="n">
        <f aca="false">IF(F62="NO",1,1/(1+I62)^H62)</f>
        <v>0.855464103493043</v>
      </c>
      <c r="K62" s="6" t="n">
        <f aca="false">IF(F62="NO",0,E62*J62)</f>
        <v>47050.5256921174</v>
      </c>
      <c r="L62" s="1" t="str">
        <f aca="false">IF(ABS(E62-E62)&lt;=01_Lease_Master!$AI$9,"PASS","CHECK")</f>
        <v>PASS</v>
      </c>
      <c r="M62" s="1" t="s">
        <v>126</v>
      </c>
    </row>
    <row r="63" customFormat="false" ht="15" hidden="false" customHeight="true" outlineLevel="0" collapsed="false">
      <c r="A63" s="1" t="s">
        <v>84</v>
      </c>
      <c r="B63" s="1" t="n">
        <v>0</v>
      </c>
      <c r="C63" s="1" t="n">
        <v>19</v>
      </c>
      <c r="D63" s="7" t="n">
        <v>46249</v>
      </c>
      <c r="E63" s="6" t="n">
        <f aca="false">01_Lease_Master!$I$9</f>
        <v>55000</v>
      </c>
      <c r="F63" s="1" t="s">
        <v>126</v>
      </c>
      <c r="G63" s="1" t="n">
        <f aca="false">D63-01_Lease_Master!$D$9</f>
        <v>577</v>
      </c>
      <c r="H63" s="1" t="n">
        <f aca="false">G63/365</f>
        <v>1.58082191780822</v>
      </c>
      <c r="I63" s="1" t="n">
        <f aca="false">01_Lease_Master!$P$9</f>
        <v>0.11</v>
      </c>
      <c r="J63" s="1" t="n">
        <f aca="false">IF(F63="NO",1,1/(1+I63)^H63)</f>
        <v>0.847915241228354</v>
      </c>
      <c r="K63" s="6" t="n">
        <f aca="false">IF(F63="NO",0,E63*J63)</f>
        <v>46635.3382675594</v>
      </c>
      <c r="L63" s="1" t="str">
        <f aca="false">IF(ABS(E63-E63)&lt;=01_Lease_Master!$AI$9,"PASS","CHECK")</f>
        <v>PASS</v>
      </c>
      <c r="M63" s="1" t="s">
        <v>126</v>
      </c>
    </row>
    <row r="64" customFormat="false" ht="15" hidden="false" customHeight="true" outlineLevel="0" collapsed="false">
      <c r="A64" s="1" t="s">
        <v>84</v>
      </c>
      <c r="B64" s="1" t="n">
        <v>0</v>
      </c>
      <c r="C64" s="1" t="n">
        <v>20</v>
      </c>
      <c r="D64" s="7" t="n">
        <v>46280</v>
      </c>
      <c r="E64" s="6" t="n">
        <f aca="false">01_Lease_Master!$I$9</f>
        <v>55000</v>
      </c>
      <c r="F64" s="1" t="s">
        <v>126</v>
      </c>
      <c r="G64" s="1" t="n">
        <f aca="false">D64-01_Lease_Master!$D$9</f>
        <v>608</v>
      </c>
      <c r="H64" s="1" t="n">
        <f aca="false">G64/365</f>
        <v>1.66575342465753</v>
      </c>
      <c r="I64" s="1" t="n">
        <f aca="false">01_Lease_Master!$P$9</f>
        <v>0.11</v>
      </c>
      <c r="J64" s="1" t="n">
        <f aca="false">IF(F64="NO",1,1/(1+I64)^H64)</f>
        <v>0.840432992304024</v>
      </c>
      <c r="K64" s="6" t="n">
        <f aca="false">IF(F64="NO",0,E64*J64)</f>
        <v>46223.8145767213</v>
      </c>
      <c r="L64" s="1" t="str">
        <f aca="false">IF(ABS(E64-E64)&lt;=01_Lease_Master!$AI$9,"PASS","CHECK")</f>
        <v>PASS</v>
      </c>
      <c r="M64" s="1" t="s">
        <v>126</v>
      </c>
    </row>
    <row r="65" customFormat="false" ht="15" hidden="false" customHeight="true" outlineLevel="0" collapsed="false">
      <c r="A65" s="1" t="s">
        <v>84</v>
      </c>
      <c r="B65" s="1" t="n">
        <v>0</v>
      </c>
      <c r="C65" s="1" t="n">
        <v>21</v>
      </c>
      <c r="D65" s="7" t="n">
        <v>46310</v>
      </c>
      <c r="E65" s="6" t="n">
        <f aca="false">01_Lease_Master!$I$9</f>
        <v>55000</v>
      </c>
      <c r="F65" s="1" t="s">
        <v>126</v>
      </c>
      <c r="G65" s="1" t="n">
        <f aca="false">D65-01_Lease_Master!$D$9</f>
        <v>638</v>
      </c>
      <c r="H65" s="1" t="n">
        <f aca="false">G65/365</f>
        <v>1.74794520547945</v>
      </c>
      <c r="I65" s="1" t="n">
        <f aca="false">01_Lease_Master!$P$9</f>
        <v>0.11</v>
      </c>
      <c r="J65" s="1" t="n">
        <f aca="false">IF(F65="NO",1,1/(1+I65)^H65)</f>
        <v>0.833254977320848</v>
      </c>
      <c r="K65" s="6" t="n">
        <f aca="false">IF(F65="NO",0,E65*J65)</f>
        <v>45829.0237526467</v>
      </c>
      <c r="L65" s="1" t="str">
        <f aca="false">IF(ABS(E65-E65)&lt;=01_Lease_Master!$AI$9,"PASS","CHECK")</f>
        <v>PASS</v>
      </c>
      <c r="M65" s="1" t="s">
        <v>126</v>
      </c>
    </row>
    <row r="66" customFormat="false" ht="15" hidden="false" customHeight="true" outlineLevel="0" collapsed="false">
      <c r="A66" s="1" t="s">
        <v>84</v>
      </c>
      <c r="B66" s="1" t="n">
        <v>0</v>
      </c>
      <c r="C66" s="1" t="n">
        <v>22</v>
      </c>
      <c r="D66" s="7" t="n">
        <v>46341</v>
      </c>
      <c r="E66" s="6" t="n">
        <f aca="false">01_Lease_Master!$I$9</f>
        <v>55000</v>
      </c>
      <c r="F66" s="1" t="s">
        <v>126</v>
      </c>
      <c r="G66" s="1" t="n">
        <f aca="false">D66-01_Lease_Master!$D$9</f>
        <v>669</v>
      </c>
      <c r="H66" s="1" t="n">
        <f aca="false">G66/365</f>
        <v>1.83287671232877</v>
      </c>
      <c r="I66" s="1" t="n">
        <f aca="false">01_Lease_Master!$P$9</f>
        <v>0.11</v>
      </c>
      <c r="J66" s="1" t="n">
        <f aca="false">IF(F66="NO",1,1/(1+I66)^H66)</f>
        <v>0.825902094798393</v>
      </c>
      <c r="K66" s="6" t="n">
        <f aca="false">IF(F66="NO",0,E66*J66)</f>
        <v>45424.6152139116</v>
      </c>
      <c r="L66" s="1" t="str">
        <f aca="false">IF(ABS(E66-E66)&lt;=01_Lease_Master!$AI$9,"PASS","CHECK")</f>
        <v>PASS</v>
      </c>
      <c r="M66" s="1" t="s">
        <v>126</v>
      </c>
    </row>
    <row r="67" customFormat="false" ht="15" hidden="false" customHeight="true" outlineLevel="0" collapsed="false">
      <c r="A67" s="1" t="s">
        <v>84</v>
      </c>
      <c r="B67" s="1" t="n">
        <v>0</v>
      </c>
      <c r="C67" s="1" t="n">
        <v>23</v>
      </c>
      <c r="D67" s="7" t="n">
        <v>46371</v>
      </c>
      <c r="E67" s="6" t="n">
        <f aca="false">01_Lease_Master!$I$9</f>
        <v>55000</v>
      </c>
      <c r="F67" s="1" t="s">
        <v>126</v>
      </c>
      <c r="G67" s="1" t="n">
        <f aca="false">D67-01_Lease_Master!$D$9</f>
        <v>699</v>
      </c>
      <c r="H67" s="1" t="n">
        <f aca="false">G67/365</f>
        <v>1.91506849315069</v>
      </c>
      <c r="I67" s="1" t="n">
        <f aca="false">01_Lease_Master!$P$9</f>
        <v>0.11</v>
      </c>
      <c r="J67" s="1" t="n">
        <f aca="false">IF(F67="NO",1,1/(1+I67)^H67)</f>
        <v>0.818848186080642</v>
      </c>
      <c r="K67" s="6" t="n">
        <f aca="false">IF(F67="NO",0,E67*J67)</f>
        <v>45036.6502344353</v>
      </c>
      <c r="L67" s="1" t="str">
        <f aca="false">IF(ABS(E67-E67)&lt;=01_Lease_Master!$AI$9,"PASS","CHECK")</f>
        <v>PASS</v>
      </c>
      <c r="M67" s="1" t="s">
        <v>126</v>
      </c>
    </row>
    <row r="68" customFormat="false" ht="15" hidden="false" customHeight="true" outlineLevel="0" collapsed="false">
      <c r="A68" s="1" t="s">
        <v>84</v>
      </c>
      <c r="B68" s="1" t="n">
        <v>0</v>
      </c>
      <c r="C68" s="1" t="n">
        <v>24</v>
      </c>
      <c r="D68" s="7" t="n">
        <v>46402</v>
      </c>
      <c r="E68" s="6" t="n">
        <f aca="false">01_Lease_Master!$I$9</f>
        <v>55000</v>
      </c>
      <c r="F68" s="1" t="s">
        <v>126</v>
      </c>
      <c r="G68" s="1" t="n">
        <f aca="false">D68-01_Lease_Master!$D$9</f>
        <v>730</v>
      </c>
      <c r="H68" s="1" t="n">
        <f aca="false">G68/365</f>
        <v>2</v>
      </c>
      <c r="I68" s="1" t="n">
        <f aca="false">01_Lease_Master!$P$9</f>
        <v>0.11</v>
      </c>
      <c r="J68" s="1" t="n">
        <f aca="false">IF(F68="NO",1,1/(1+I68)^H68)</f>
        <v>0.811622433244055</v>
      </c>
      <c r="K68" s="6" t="n">
        <f aca="false">IF(F68="NO",0,E68*J68)</f>
        <v>44639.233828423</v>
      </c>
      <c r="L68" s="1" t="str">
        <f aca="false">IF(ABS(E68-E68)&lt;=01_Lease_Master!$AI$9,"PASS","CHECK")</f>
        <v>PASS</v>
      </c>
      <c r="M68" s="1" t="s">
        <v>126</v>
      </c>
    </row>
    <row r="69" customFormat="false" ht="15" hidden="false" customHeight="true" outlineLevel="0" collapsed="false">
      <c r="A69" s="1" t="s">
        <v>84</v>
      </c>
      <c r="B69" s="1" t="n">
        <v>0</v>
      </c>
      <c r="C69" s="1" t="n">
        <v>25</v>
      </c>
      <c r="D69" s="7" t="n">
        <v>46433</v>
      </c>
      <c r="E69" s="6" t="n">
        <f aca="false">01_Lease_Master!$I$9</f>
        <v>55000</v>
      </c>
      <c r="F69" s="1" t="s">
        <v>126</v>
      </c>
      <c r="G69" s="1" t="n">
        <f aca="false">D69-01_Lease_Master!$D$9</f>
        <v>761</v>
      </c>
      <c r="H69" s="1" t="n">
        <f aca="false">G69/365</f>
        <v>2.08493150684932</v>
      </c>
      <c r="I69" s="1" t="n">
        <f aca="false">01_Lease_Master!$P$9</f>
        <v>0.11</v>
      </c>
      <c r="J69" s="1" t="n">
        <f aca="false">IF(F69="NO",1,1/(1+I69)^H69)</f>
        <v>0.804460442536936</v>
      </c>
      <c r="K69" s="6" t="n">
        <f aca="false">IF(F69="NO",0,E69*J69)</f>
        <v>44245.3243395315</v>
      </c>
      <c r="L69" s="1" t="str">
        <f aca="false">IF(ABS(E69-E69)&lt;=01_Lease_Master!$AI$9,"PASS","CHECK")</f>
        <v>PASS</v>
      </c>
      <c r="M69" s="1" t="s">
        <v>126</v>
      </c>
    </row>
    <row r="70" customFormat="false" ht="15" hidden="false" customHeight="true" outlineLevel="0" collapsed="false">
      <c r="A70" s="1" t="s">
        <v>84</v>
      </c>
      <c r="B70" s="1" t="n">
        <v>0</v>
      </c>
      <c r="C70" s="1" t="n">
        <v>26</v>
      </c>
      <c r="D70" s="7" t="n">
        <v>46461</v>
      </c>
      <c r="E70" s="6" t="n">
        <f aca="false">01_Lease_Master!$I$9</f>
        <v>55000</v>
      </c>
      <c r="F70" s="1" t="s">
        <v>126</v>
      </c>
      <c r="G70" s="1" t="n">
        <f aca="false">D70-01_Lease_Master!$D$9</f>
        <v>789</v>
      </c>
      <c r="H70" s="1" t="n">
        <f aca="false">G70/365</f>
        <v>2.16164383561644</v>
      </c>
      <c r="I70" s="1" t="n">
        <f aca="false">01_Lease_Master!$P$9</f>
        <v>0.11</v>
      </c>
      <c r="J70" s="1" t="n">
        <f aca="false">IF(F70="NO",1,1/(1+I70)^H70)</f>
        <v>0.798045884501144</v>
      </c>
      <c r="K70" s="6" t="n">
        <f aca="false">IF(F70="NO",0,E70*J70)</f>
        <v>43892.5236475629</v>
      </c>
      <c r="L70" s="1" t="str">
        <f aca="false">IF(ABS(E70-E70)&lt;=01_Lease_Master!$AI$9,"PASS","CHECK")</f>
        <v>PASS</v>
      </c>
      <c r="M70" s="1" t="s">
        <v>126</v>
      </c>
    </row>
    <row r="71" customFormat="false" ht="15" hidden="false" customHeight="true" outlineLevel="0" collapsed="false">
      <c r="A71" s="1" t="s">
        <v>84</v>
      </c>
      <c r="B71" s="1" t="n">
        <v>0</v>
      </c>
      <c r="C71" s="1" t="n">
        <v>27</v>
      </c>
      <c r="D71" s="7" t="n">
        <v>46492</v>
      </c>
      <c r="E71" s="6" t="n">
        <f aca="false">01_Lease_Master!$I$9</f>
        <v>55000</v>
      </c>
      <c r="F71" s="1" t="s">
        <v>126</v>
      </c>
      <c r="G71" s="1" t="n">
        <f aca="false">D71-01_Lease_Master!$D$9</f>
        <v>820</v>
      </c>
      <c r="H71" s="1" t="n">
        <f aca="false">G71/365</f>
        <v>2.24657534246575</v>
      </c>
      <c r="I71" s="1" t="n">
        <f aca="false">01_Lease_Master!$P$9</f>
        <v>0.11</v>
      </c>
      <c r="J71" s="1" t="n">
        <f aca="false">IF(F71="NO",1,1/(1+I71)^H71)</f>
        <v>0.791003697180364</v>
      </c>
      <c r="K71" s="6" t="n">
        <f aca="false">IF(F71="NO",0,E71*J71)</f>
        <v>43505.20334492</v>
      </c>
      <c r="L71" s="1" t="str">
        <f aca="false">IF(ABS(E71-E71)&lt;=01_Lease_Master!$AI$9,"PASS","CHECK")</f>
        <v>PASS</v>
      </c>
      <c r="M71" s="1" t="s">
        <v>126</v>
      </c>
    </row>
    <row r="72" customFormat="false" ht="15" hidden="false" customHeight="true" outlineLevel="0" collapsed="false">
      <c r="A72" s="1" t="s">
        <v>84</v>
      </c>
      <c r="B72" s="1" t="n">
        <v>0</v>
      </c>
      <c r="C72" s="1" t="n">
        <v>28</v>
      </c>
      <c r="D72" s="7" t="n">
        <v>46522</v>
      </c>
      <c r="E72" s="6" t="n">
        <f aca="false">01_Lease_Master!$I$9</f>
        <v>55000</v>
      </c>
      <c r="F72" s="1" t="s">
        <v>126</v>
      </c>
      <c r="G72" s="1" t="n">
        <f aca="false">D72-01_Lease_Master!$D$9</f>
        <v>850</v>
      </c>
      <c r="H72" s="1" t="n">
        <f aca="false">G72/365</f>
        <v>2.32876712328767</v>
      </c>
      <c r="I72" s="1" t="n">
        <f aca="false">01_Lease_Master!$P$9</f>
        <v>0.11</v>
      </c>
      <c r="J72" s="1" t="n">
        <f aca="false">IF(F72="NO",1,1/(1+I72)^H72)</f>
        <v>0.784247850560704</v>
      </c>
      <c r="K72" s="6" t="n">
        <f aca="false">IF(F72="NO",0,E72*J72)</f>
        <v>43133.6317808387</v>
      </c>
      <c r="L72" s="1" t="str">
        <f aca="false">IF(ABS(E72-E72)&lt;=01_Lease_Master!$AI$9,"PASS","CHECK")</f>
        <v>PASS</v>
      </c>
      <c r="M72" s="1" t="s">
        <v>126</v>
      </c>
    </row>
    <row r="73" customFormat="false" ht="15" hidden="false" customHeight="true" outlineLevel="0" collapsed="false">
      <c r="A73" s="1" t="s">
        <v>84</v>
      </c>
      <c r="B73" s="1" t="n">
        <v>0</v>
      </c>
      <c r="C73" s="1" t="n">
        <v>29</v>
      </c>
      <c r="D73" s="7" t="n">
        <v>46553</v>
      </c>
      <c r="E73" s="6" t="n">
        <f aca="false">01_Lease_Master!$I$9</f>
        <v>55000</v>
      </c>
      <c r="F73" s="1" t="s">
        <v>126</v>
      </c>
      <c r="G73" s="1" t="n">
        <f aca="false">D73-01_Lease_Master!$D$9</f>
        <v>881</v>
      </c>
      <c r="H73" s="1" t="n">
        <f aca="false">G73/365</f>
        <v>2.41369863013699</v>
      </c>
      <c r="I73" s="1" t="n">
        <f aca="false">01_Lease_Master!$P$9</f>
        <v>0.11</v>
      </c>
      <c r="J73" s="1" t="n">
        <f aca="false">IF(F73="NO",1,1/(1+I73)^H73)</f>
        <v>0.7773274210756</v>
      </c>
      <c r="K73" s="6" t="n">
        <f aca="false">IF(F73="NO",0,E73*J73)</f>
        <v>42753.008159158</v>
      </c>
      <c r="L73" s="1" t="str">
        <f aca="false">IF(ABS(E73-E73)&lt;=01_Lease_Master!$AI$9,"PASS","CHECK")</f>
        <v>PASS</v>
      </c>
      <c r="M73" s="1" t="s">
        <v>126</v>
      </c>
    </row>
    <row r="74" customFormat="false" ht="15" hidden="false" customHeight="true" outlineLevel="0" collapsed="false">
      <c r="A74" s="1" t="s">
        <v>84</v>
      </c>
      <c r="B74" s="1" t="n">
        <v>0</v>
      </c>
      <c r="C74" s="1" t="n">
        <v>30</v>
      </c>
      <c r="D74" s="7" t="n">
        <v>46583</v>
      </c>
      <c r="E74" s="6" t="n">
        <f aca="false">01_Lease_Master!$I$9</f>
        <v>55000</v>
      </c>
      <c r="F74" s="1" t="s">
        <v>126</v>
      </c>
      <c r="G74" s="1" t="n">
        <f aca="false">D74-01_Lease_Master!$D$9</f>
        <v>911</v>
      </c>
      <c r="H74" s="1" t="n">
        <f aca="false">G74/365</f>
        <v>2.4958904109589</v>
      </c>
      <c r="I74" s="1" t="n">
        <f aca="false">01_Lease_Master!$P$9</f>
        <v>0.11</v>
      </c>
      <c r="J74" s="1" t="n">
        <f aca="false">IF(F74="NO",1,1/(1+I74)^H74)</f>
        <v>0.770688381525264</v>
      </c>
      <c r="K74" s="6" t="n">
        <f aca="false">IF(F74="NO",0,E74*J74)</f>
        <v>42387.8609838895</v>
      </c>
      <c r="L74" s="1" t="str">
        <f aca="false">IF(ABS(E74-E74)&lt;=01_Lease_Master!$AI$9,"PASS","CHECK")</f>
        <v>PASS</v>
      </c>
      <c r="M74" s="1" t="s">
        <v>126</v>
      </c>
    </row>
    <row r="75" customFormat="false" ht="15" hidden="false" customHeight="true" outlineLevel="0" collapsed="false">
      <c r="A75" s="1" t="s">
        <v>84</v>
      </c>
      <c r="B75" s="1" t="n">
        <v>0</v>
      </c>
      <c r="C75" s="1" t="n">
        <v>31</v>
      </c>
      <c r="D75" s="7" t="n">
        <v>46614</v>
      </c>
      <c r="E75" s="6" t="n">
        <f aca="false">01_Lease_Master!$I$9</f>
        <v>55000</v>
      </c>
      <c r="F75" s="1" t="s">
        <v>126</v>
      </c>
      <c r="G75" s="1" t="n">
        <f aca="false">D75-01_Lease_Master!$D$9</f>
        <v>942</v>
      </c>
      <c r="H75" s="1" t="n">
        <f aca="false">G75/365</f>
        <v>2.58082191780822</v>
      </c>
      <c r="I75" s="1" t="n">
        <f aca="false">01_Lease_Master!$P$9</f>
        <v>0.11</v>
      </c>
      <c r="J75" s="1" t="n">
        <f aca="false">IF(F75="NO",1,1/(1+I75)^H75)</f>
        <v>0.763887604710228</v>
      </c>
      <c r="K75" s="6" t="n">
        <f aca="false">IF(F75="NO",0,E75*J75)</f>
        <v>42013.8182590626</v>
      </c>
      <c r="L75" s="1" t="str">
        <f aca="false">IF(ABS(E75-E75)&lt;=01_Lease_Master!$AI$9,"PASS","CHECK")</f>
        <v>PASS</v>
      </c>
      <c r="M75" s="1" t="s">
        <v>126</v>
      </c>
    </row>
    <row r="76" customFormat="false" ht="15" hidden="false" customHeight="true" outlineLevel="0" collapsed="false">
      <c r="A76" s="1" t="s">
        <v>84</v>
      </c>
      <c r="B76" s="1" t="n">
        <v>0</v>
      </c>
      <c r="C76" s="1" t="n">
        <v>32</v>
      </c>
      <c r="D76" s="7" t="n">
        <v>46645</v>
      </c>
      <c r="E76" s="6" t="n">
        <f aca="false">01_Lease_Master!$I$9</f>
        <v>55000</v>
      </c>
      <c r="F76" s="1" t="s">
        <v>126</v>
      </c>
      <c r="G76" s="1" t="n">
        <f aca="false">D76-01_Lease_Master!$D$9</f>
        <v>973</v>
      </c>
      <c r="H76" s="1" t="n">
        <f aca="false">G76/365</f>
        <v>2.66575342465753</v>
      </c>
      <c r="I76" s="1" t="n">
        <f aca="false">01_Lease_Master!$P$9</f>
        <v>0.11</v>
      </c>
      <c r="J76" s="1" t="n">
        <f aca="false">IF(F76="NO",1,1/(1+I76)^H76)</f>
        <v>0.757146839913535</v>
      </c>
      <c r="K76" s="6" t="n">
        <f aca="false">IF(F76="NO",0,E76*J76)</f>
        <v>41643.0761952444</v>
      </c>
      <c r="L76" s="1" t="str">
        <f aca="false">IF(ABS(E76-E76)&lt;=01_Lease_Master!$AI$9,"PASS","CHECK")</f>
        <v>PASS</v>
      </c>
      <c r="M76" s="1" t="s">
        <v>126</v>
      </c>
    </row>
    <row r="77" customFormat="false" ht="15" hidden="false" customHeight="true" outlineLevel="0" collapsed="false">
      <c r="A77" s="1" t="s">
        <v>84</v>
      </c>
      <c r="B77" s="1" t="n">
        <v>0</v>
      </c>
      <c r="C77" s="1" t="n">
        <v>33</v>
      </c>
      <c r="D77" s="7" t="n">
        <v>46675</v>
      </c>
      <c r="E77" s="6" t="n">
        <f aca="false">01_Lease_Master!$I$9</f>
        <v>55000</v>
      </c>
      <c r="F77" s="1" t="s">
        <v>126</v>
      </c>
      <c r="G77" s="1" t="n">
        <f aca="false">D77-01_Lease_Master!$D$9</f>
        <v>1003</v>
      </c>
      <c r="H77" s="1" t="n">
        <f aca="false">G77/365</f>
        <v>2.74794520547945</v>
      </c>
      <c r="I77" s="1" t="n">
        <f aca="false">01_Lease_Master!$P$9</f>
        <v>0.11</v>
      </c>
      <c r="J77" s="1" t="n">
        <f aca="false">IF(F77="NO",1,1/(1+I77)^H77)</f>
        <v>0.750680159748512</v>
      </c>
      <c r="K77" s="6" t="n">
        <f aca="false">IF(F77="NO",0,E77*J77)</f>
        <v>41287.4087861682</v>
      </c>
      <c r="L77" s="1" t="str">
        <f aca="false">IF(ABS(E77-E77)&lt;=01_Lease_Master!$AI$9,"PASS","CHECK")</f>
        <v>PASS</v>
      </c>
      <c r="M77" s="1" t="s">
        <v>126</v>
      </c>
    </row>
    <row r="78" customFormat="false" ht="15" hidden="false" customHeight="true" outlineLevel="0" collapsed="false">
      <c r="A78" s="1" t="s">
        <v>84</v>
      </c>
      <c r="B78" s="1" t="n">
        <v>0</v>
      </c>
      <c r="C78" s="1" t="n">
        <v>34</v>
      </c>
      <c r="D78" s="7" t="n">
        <v>46706</v>
      </c>
      <c r="E78" s="6" t="n">
        <f aca="false">01_Lease_Master!$I$9</f>
        <v>55000</v>
      </c>
      <c r="F78" s="1" t="s">
        <v>126</v>
      </c>
      <c r="G78" s="1" t="n">
        <f aca="false">D78-01_Lease_Master!$D$9</f>
        <v>1034</v>
      </c>
      <c r="H78" s="1" t="n">
        <f aca="false">G78/365</f>
        <v>2.83287671232877</v>
      </c>
      <c r="I78" s="1" t="n">
        <f aca="false">01_Lease_Master!$P$9</f>
        <v>0.11</v>
      </c>
      <c r="J78" s="1" t="n">
        <f aca="false">IF(F78="NO",1,1/(1+I78)^H78)</f>
        <v>0.744055941259813</v>
      </c>
      <c r="K78" s="6" t="n">
        <f aca="false">IF(F78="NO",0,E78*J78)</f>
        <v>40923.0767692897</v>
      </c>
      <c r="L78" s="1" t="str">
        <f aca="false">IF(ABS(E78-E78)&lt;=01_Lease_Master!$AI$9,"PASS","CHECK")</f>
        <v>PASS</v>
      </c>
      <c r="M78" s="1" t="s">
        <v>126</v>
      </c>
    </row>
    <row r="79" customFormat="false" ht="15" hidden="false" customHeight="true" outlineLevel="0" collapsed="false">
      <c r="A79" s="1" t="s">
        <v>84</v>
      </c>
      <c r="B79" s="1" t="n">
        <v>0</v>
      </c>
      <c r="C79" s="1" t="n">
        <v>35</v>
      </c>
      <c r="D79" s="7" t="n">
        <v>46736</v>
      </c>
      <c r="E79" s="6" t="n">
        <f aca="false">01_Lease_Master!$I$9</f>
        <v>55000</v>
      </c>
      <c r="F79" s="1" t="s">
        <v>126</v>
      </c>
      <c r="G79" s="1" t="n">
        <f aca="false">D79-01_Lease_Master!$D$9</f>
        <v>1064</v>
      </c>
      <c r="H79" s="1" t="n">
        <f aca="false">G79/365</f>
        <v>2.91506849315069</v>
      </c>
      <c r="I79" s="1" t="n">
        <f aca="false">01_Lease_Master!$P$9</f>
        <v>0.11</v>
      </c>
      <c r="J79" s="1" t="n">
        <f aca="false">IF(F79="NO",1,1/(1+I79)^H79)</f>
        <v>0.737701068541119</v>
      </c>
      <c r="K79" s="6" t="n">
        <f aca="false">IF(F79="NO",0,E79*J79)</f>
        <v>40573.5587697615</v>
      </c>
      <c r="L79" s="1" t="str">
        <f aca="false">IF(ABS(E79-E79)&lt;=01_Lease_Master!$AI$9,"PASS","CHECK")</f>
        <v>PASS</v>
      </c>
      <c r="M79" s="1" t="s">
        <v>126</v>
      </c>
    </row>
    <row r="80" customFormat="false" ht="15" hidden="false" customHeight="true" outlineLevel="0" collapsed="false">
      <c r="A80" s="1" t="s">
        <v>88</v>
      </c>
      <c r="B80" s="1" t="n">
        <v>0</v>
      </c>
      <c r="C80" s="1" t="n">
        <v>1</v>
      </c>
      <c r="D80" s="7" t="n">
        <v>45108</v>
      </c>
      <c r="E80" s="6" t="n">
        <f aca="false">IF(D80&gt;=20_Escalation_Schedule!$B$20,((20_Escalation_Schedule!$D$20)*EXP(IF(D80&gt;=20_Escalation_Schedule!$B$21,LN(1+20_Escalation_Schedule!$D$21),0))),((01_Lease_Master!$I$10)*EXP(IF(D80&gt;=20_Escalation_Schedule!$B$18,LN(1+20_Escalation_Schedule!$D$18),0)+IF(D80&gt;=20_Escalation_Schedule!$B$19,LN(1+20_Escalation_Schedule!$D$19),0))))</f>
        <v>300000</v>
      </c>
      <c r="F80" s="1" t="s">
        <v>127</v>
      </c>
      <c r="G80" s="1" t="n">
        <f aca="false">D80-01_Lease_Master!$D$10</f>
        <v>0</v>
      </c>
      <c r="H80" s="1" t="n">
        <f aca="false">G80/365</f>
        <v>0</v>
      </c>
      <c r="I80" s="1" t="n">
        <f aca="false">01_Lease_Master!$P$10</f>
        <v>0.095</v>
      </c>
      <c r="J80" s="1" t="n">
        <f aca="false">IF(F80="NO",1,1/(1+I80)^H80)</f>
        <v>1</v>
      </c>
      <c r="K80" s="6" t="n">
        <f aca="false">IF(F80="NO",0,E80*J80)</f>
        <v>0</v>
      </c>
      <c r="L80" s="1" t="str">
        <f aca="false">IF(ABS(E80-E80)&lt;=01_Lease_Master!$AI$10,"PASS","CHECK")</f>
        <v>PASS</v>
      </c>
      <c r="M80" s="1" t="s">
        <v>126</v>
      </c>
    </row>
    <row r="81" customFormat="false" ht="15" hidden="false" customHeight="true" outlineLevel="0" collapsed="false">
      <c r="A81" s="1" t="s">
        <v>88</v>
      </c>
      <c r="B81" s="1" t="n">
        <v>0</v>
      </c>
      <c r="C81" s="1" t="n">
        <v>2</v>
      </c>
      <c r="D81" s="7" t="n">
        <v>45200</v>
      </c>
      <c r="E81" s="6" t="n">
        <f aca="false">IF(D81&gt;=20_Escalation_Schedule!$B$20,((20_Escalation_Schedule!$D$20)*EXP(IF(D81&gt;=20_Escalation_Schedule!$B$21,LN(1+20_Escalation_Schedule!$D$21),0))),((01_Lease_Master!$I$10)*EXP(IF(D81&gt;=20_Escalation_Schedule!$B$18,LN(1+20_Escalation_Schedule!$D$18),0)+IF(D81&gt;=20_Escalation_Schedule!$B$19,LN(1+20_Escalation_Schedule!$D$19),0))))</f>
        <v>300000</v>
      </c>
      <c r="F81" s="1" t="s">
        <v>126</v>
      </c>
      <c r="G81" s="1" t="n">
        <f aca="false">D81-01_Lease_Master!$D$10</f>
        <v>92</v>
      </c>
      <c r="H81" s="1" t="n">
        <f aca="false">G81/365</f>
        <v>0.252054794520548</v>
      </c>
      <c r="I81" s="1" t="n">
        <f aca="false">01_Lease_Master!$P$10</f>
        <v>0.095</v>
      </c>
      <c r="J81" s="1" t="n">
        <f aca="false">IF(F81="NO",1,1/(1+I81)^H81)</f>
        <v>0.97738457847048</v>
      </c>
      <c r="K81" s="6" t="n">
        <f aca="false">IF(F81="NO",0,E81*J81)</f>
        <v>293215.373541144</v>
      </c>
      <c r="L81" s="1" t="str">
        <f aca="false">IF(ABS(E81-E81)&lt;=01_Lease_Master!$AI$10,"PASS","CHECK")</f>
        <v>PASS</v>
      </c>
      <c r="M81" s="1" t="s">
        <v>126</v>
      </c>
    </row>
    <row r="82" customFormat="false" ht="15" hidden="false" customHeight="true" outlineLevel="0" collapsed="false">
      <c r="A82" s="1" t="s">
        <v>88</v>
      </c>
      <c r="B82" s="1" t="n">
        <v>0</v>
      </c>
      <c r="C82" s="1" t="n">
        <v>3</v>
      </c>
      <c r="D82" s="7" t="n">
        <v>45292</v>
      </c>
      <c r="E82" s="6" t="n">
        <f aca="false">IF(D82&gt;=20_Escalation_Schedule!$B$20,((20_Escalation_Schedule!$D$20)*EXP(IF(D82&gt;=20_Escalation_Schedule!$B$21,LN(1+20_Escalation_Schedule!$D$21),0))),((01_Lease_Master!$I$10)*EXP(IF(D82&gt;=20_Escalation_Schedule!$B$18,LN(1+20_Escalation_Schedule!$D$18),0)+IF(D82&gt;=20_Escalation_Schedule!$B$19,LN(1+20_Escalation_Schedule!$D$19),0))))</f>
        <v>300000</v>
      </c>
      <c r="F82" s="1" t="s">
        <v>126</v>
      </c>
      <c r="G82" s="1" t="n">
        <f aca="false">D82-01_Lease_Master!$D$10</f>
        <v>184</v>
      </c>
      <c r="H82" s="1" t="n">
        <f aca="false">G82/365</f>
        <v>0.504109589041096</v>
      </c>
      <c r="I82" s="1" t="n">
        <f aca="false">01_Lease_Master!$P$10</f>
        <v>0.095</v>
      </c>
      <c r="J82" s="1" t="n">
        <f aca="false">IF(F82="NO",1,1/(1+I82)^H82)</f>
        <v>0.955280614231917</v>
      </c>
      <c r="K82" s="6" t="n">
        <f aca="false">IF(F82="NO",0,E82*J82)</f>
        <v>286584.184269575</v>
      </c>
      <c r="L82" s="1" t="str">
        <f aca="false">IF(ABS(E82-E82)&lt;=01_Lease_Master!$AI$10,"PASS","CHECK")</f>
        <v>PASS</v>
      </c>
      <c r="M82" s="1" t="s">
        <v>126</v>
      </c>
    </row>
    <row r="83" customFormat="false" ht="15" hidden="false" customHeight="true" outlineLevel="0" collapsed="false">
      <c r="A83" s="1" t="s">
        <v>88</v>
      </c>
      <c r="B83" s="1" t="n">
        <v>0</v>
      </c>
      <c r="C83" s="1" t="n">
        <v>4</v>
      </c>
      <c r="D83" s="7" t="n">
        <v>45383</v>
      </c>
      <c r="E83" s="6" t="n">
        <f aca="false">IF(D83&gt;=20_Escalation_Schedule!$B$20,((20_Escalation_Schedule!$D$20)*EXP(IF(D83&gt;=20_Escalation_Schedule!$B$21,LN(1+20_Escalation_Schedule!$D$21),0))),((01_Lease_Master!$I$10)*EXP(IF(D83&gt;=20_Escalation_Schedule!$B$18,LN(1+20_Escalation_Schedule!$D$18),0)+IF(D83&gt;=20_Escalation_Schedule!$B$19,LN(1+20_Escalation_Schedule!$D$19),0))))</f>
        <v>300000</v>
      </c>
      <c r="F83" s="1" t="s">
        <v>126</v>
      </c>
      <c r="G83" s="1" t="n">
        <f aca="false">D83-01_Lease_Master!$D$10</f>
        <v>275</v>
      </c>
      <c r="H83" s="1" t="n">
        <f aca="false">G83/365</f>
        <v>0.753424657534247</v>
      </c>
      <c r="I83" s="1" t="n">
        <f aca="false">01_Lease_Master!$P$10</f>
        <v>0.095</v>
      </c>
      <c r="J83" s="1" t="n">
        <f aca="false">IF(F83="NO",1,1/(1+I83)^H83)</f>
        <v>0.933908720613241</v>
      </c>
      <c r="K83" s="6" t="n">
        <f aca="false">IF(F83="NO",0,E83*J83)</f>
        <v>280172.616183972</v>
      </c>
      <c r="L83" s="1" t="str">
        <f aca="false">IF(ABS(E83-E83)&lt;=01_Lease_Master!$AI$10,"PASS","CHECK")</f>
        <v>PASS</v>
      </c>
      <c r="M83" s="1" t="s">
        <v>126</v>
      </c>
    </row>
    <row r="84" customFormat="false" ht="15" hidden="false" customHeight="true" outlineLevel="0" collapsed="false">
      <c r="A84" s="1" t="s">
        <v>88</v>
      </c>
      <c r="B84" s="1" t="n">
        <v>0</v>
      </c>
      <c r="C84" s="1" t="n">
        <v>5</v>
      </c>
      <c r="D84" s="7" t="n">
        <v>45474</v>
      </c>
      <c r="E84" s="6" t="n">
        <f aca="false">IF(D84&gt;=20_Escalation_Schedule!$B$20,((20_Escalation_Schedule!$D$20)*EXP(IF(D84&gt;=20_Escalation_Schedule!$B$21,LN(1+20_Escalation_Schedule!$D$21),0))),((01_Lease_Master!$I$10)*EXP(IF(D84&gt;=20_Escalation_Schedule!$B$18,LN(1+20_Escalation_Schedule!$D$18),0)+IF(D84&gt;=20_Escalation_Schedule!$B$19,LN(1+20_Escalation_Schedule!$D$19),0))))</f>
        <v>312000</v>
      </c>
      <c r="F84" s="1" t="s">
        <v>126</v>
      </c>
      <c r="G84" s="1" t="n">
        <f aca="false">D84-01_Lease_Master!$D$10</f>
        <v>366</v>
      </c>
      <c r="H84" s="1" t="n">
        <f aca="false">G84/365</f>
        <v>1.0027397260274</v>
      </c>
      <c r="I84" s="1" t="n">
        <f aca="false">01_Lease_Master!$P$10</f>
        <v>0.095</v>
      </c>
      <c r="J84" s="1" t="n">
        <f aca="false">IF(F84="NO",1,1/(1+I84)^H84)</f>
        <v>0.913014966956837</v>
      </c>
      <c r="K84" s="6" t="n">
        <f aca="false">IF(F84="NO",0,E84*J84)</f>
        <v>284860.669690533</v>
      </c>
      <c r="L84" s="1" t="str">
        <f aca="false">IF(ABS(E84-E84)&lt;=01_Lease_Master!$AI$10,"PASS","CHECK")</f>
        <v>PASS</v>
      </c>
      <c r="M84" s="1" t="s">
        <v>126</v>
      </c>
    </row>
    <row r="85" customFormat="false" ht="15" hidden="false" customHeight="true" outlineLevel="0" collapsed="false">
      <c r="A85" s="1" t="s">
        <v>88</v>
      </c>
      <c r="B85" s="1" t="n">
        <v>0</v>
      </c>
      <c r="C85" s="1" t="n">
        <v>6</v>
      </c>
      <c r="D85" s="7" t="n">
        <v>45566</v>
      </c>
      <c r="E85" s="6" t="n">
        <f aca="false">IF(D85&gt;=20_Escalation_Schedule!$B$20,((20_Escalation_Schedule!$D$20)*EXP(IF(D85&gt;=20_Escalation_Schedule!$B$21,LN(1+20_Escalation_Schedule!$D$21),0))),((01_Lease_Master!$I$10)*EXP(IF(D85&gt;=20_Escalation_Schedule!$B$18,LN(1+20_Escalation_Schedule!$D$18),0)+IF(D85&gt;=20_Escalation_Schedule!$B$19,LN(1+20_Escalation_Schedule!$D$19),0))))</f>
        <v>312000</v>
      </c>
      <c r="F85" s="1" t="s">
        <v>126</v>
      </c>
      <c r="G85" s="1" t="n">
        <f aca="false">D85-01_Lease_Master!$D$10</f>
        <v>458</v>
      </c>
      <c r="H85" s="1" t="n">
        <f aca="false">G85/365</f>
        <v>1.25479452054795</v>
      </c>
      <c r="I85" s="1" t="n">
        <f aca="false">01_Lease_Master!$P$10</f>
        <v>0.095</v>
      </c>
      <c r="J85" s="1" t="n">
        <f aca="false">IF(F85="NO",1,1/(1+I85)^H85)</f>
        <v>0.892366748616347</v>
      </c>
      <c r="K85" s="6" t="n">
        <f aca="false">IF(F85="NO",0,E85*J85)</f>
        <v>278418.4255683</v>
      </c>
      <c r="L85" s="1" t="str">
        <f aca="false">IF(ABS(E85-E85)&lt;=01_Lease_Master!$AI$10,"PASS","CHECK")</f>
        <v>PASS</v>
      </c>
      <c r="M85" s="1" t="s">
        <v>126</v>
      </c>
    </row>
    <row r="86" customFormat="false" ht="15" hidden="false" customHeight="true" outlineLevel="0" collapsed="false">
      <c r="A86" s="1" t="s">
        <v>88</v>
      </c>
      <c r="B86" s="1" t="n">
        <v>0</v>
      </c>
      <c r="C86" s="1" t="n">
        <v>7</v>
      </c>
      <c r="D86" s="7" t="n">
        <v>45658</v>
      </c>
      <c r="E86" s="6" t="n">
        <f aca="false">IF(D86&gt;=20_Escalation_Schedule!$B$20,((20_Escalation_Schedule!$D$20)*EXP(IF(D86&gt;=20_Escalation_Schedule!$B$21,LN(1+20_Escalation_Schedule!$D$21),0))),((01_Lease_Master!$I$10)*EXP(IF(D86&gt;=20_Escalation_Schedule!$B$18,LN(1+20_Escalation_Schedule!$D$18),0)+IF(D86&gt;=20_Escalation_Schedule!$B$19,LN(1+20_Escalation_Schedule!$D$19),0))))</f>
        <v>312000</v>
      </c>
      <c r="F86" s="1" t="s">
        <v>126</v>
      </c>
      <c r="G86" s="1" t="n">
        <f aca="false">D86-01_Lease_Master!$D$10</f>
        <v>550</v>
      </c>
      <c r="H86" s="1" t="n">
        <f aca="false">G86/365</f>
        <v>1.50684931506849</v>
      </c>
      <c r="I86" s="1" t="n">
        <f aca="false">01_Lease_Master!$P$10</f>
        <v>0.095</v>
      </c>
      <c r="J86" s="1" t="n">
        <f aca="false">IF(F86="NO",1,1/(1+I86)^H86)</f>
        <v>0.872185498437461</v>
      </c>
      <c r="K86" s="6" t="n">
        <f aca="false">IF(F86="NO",0,E86*J86)</f>
        <v>272121.875512488</v>
      </c>
      <c r="L86" s="1" t="str">
        <f aca="false">IF(ABS(E86-E86)&lt;=01_Lease_Master!$AI$10,"PASS","CHECK")</f>
        <v>PASS</v>
      </c>
      <c r="M86" s="1" t="s">
        <v>126</v>
      </c>
    </row>
    <row r="87" customFormat="false" ht="15" hidden="false" customHeight="true" outlineLevel="0" collapsed="false">
      <c r="A87" s="1" t="s">
        <v>88</v>
      </c>
      <c r="B87" s="1" t="n">
        <v>0</v>
      </c>
      <c r="C87" s="1" t="n">
        <v>8</v>
      </c>
      <c r="D87" s="7" t="n">
        <v>45748</v>
      </c>
      <c r="E87" s="6" t="n">
        <f aca="false">IF(D87&gt;=20_Escalation_Schedule!$B$20,((20_Escalation_Schedule!$D$20)*EXP(IF(D87&gt;=20_Escalation_Schedule!$B$21,LN(1+20_Escalation_Schedule!$D$21),0))),((01_Lease_Master!$I$10)*EXP(IF(D87&gt;=20_Escalation_Schedule!$B$18,LN(1+20_Escalation_Schedule!$D$18),0)+IF(D87&gt;=20_Escalation_Schedule!$B$19,LN(1+20_Escalation_Schedule!$D$19),0))))</f>
        <v>312000</v>
      </c>
      <c r="F87" s="1" t="s">
        <v>126</v>
      </c>
      <c r="G87" s="1" t="n">
        <f aca="false">D87-01_Lease_Master!$D$10</f>
        <v>640</v>
      </c>
      <c r="H87" s="1" t="n">
        <f aca="false">G87/365</f>
        <v>1.75342465753425</v>
      </c>
      <c r="I87" s="1" t="n">
        <f aca="false">01_Lease_Master!$P$10</f>
        <v>0.095</v>
      </c>
      <c r="J87" s="1" t="n">
        <f aca="false">IF(F87="NO",1,1/(1+I87)^H87)</f>
        <v>0.852884676359124</v>
      </c>
      <c r="K87" s="6" t="n">
        <f aca="false">IF(F87="NO",0,E87*J87)</f>
        <v>266100.019024047</v>
      </c>
      <c r="L87" s="1" t="str">
        <f aca="false">IF(ABS(E87-E87)&lt;=01_Lease_Master!$AI$10,"PASS","CHECK")</f>
        <v>PASS</v>
      </c>
      <c r="M87" s="1" t="s">
        <v>126</v>
      </c>
    </row>
    <row r="88" customFormat="false" ht="15" hidden="false" customHeight="true" outlineLevel="0" collapsed="false">
      <c r="A88" s="1" t="s">
        <v>88</v>
      </c>
      <c r="B88" s="1" t="n">
        <v>0</v>
      </c>
      <c r="C88" s="1" t="n">
        <v>9</v>
      </c>
      <c r="D88" s="7" t="n">
        <v>45839</v>
      </c>
      <c r="E88" s="6" t="n">
        <f aca="false">IF(D88&gt;=20_Escalation_Schedule!$B$20,((20_Escalation_Schedule!$D$20)*EXP(IF(D88&gt;=20_Escalation_Schedule!$B$21,LN(1+20_Escalation_Schedule!$D$21),0))),((01_Lease_Master!$I$10)*EXP(IF(D88&gt;=20_Escalation_Schedule!$B$18,LN(1+20_Escalation_Schedule!$D$18),0)+IF(D88&gt;=20_Escalation_Schedule!$B$19,LN(1+20_Escalation_Schedule!$D$19),0))))</f>
        <v>324480</v>
      </c>
      <c r="F88" s="1" t="s">
        <v>126</v>
      </c>
      <c r="G88" s="1" t="n">
        <f aca="false">D88-01_Lease_Master!$D$10</f>
        <v>731</v>
      </c>
      <c r="H88" s="1" t="n">
        <f aca="false">G88/365</f>
        <v>2.0027397260274</v>
      </c>
      <c r="I88" s="1" t="n">
        <f aca="false">01_Lease_Master!$P$10</f>
        <v>0.095</v>
      </c>
      <c r="J88" s="1" t="n">
        <f aca="false">IF(F88="NO",1,1/(1+I88)^H88)</f>
        <v>0.833803622791632</v>
      </c>
      <c r="K88" s="6" t="n">
        <f aca="false">IF(F88="NO",0,E88*J88)</f>
        <v>270552.599523429</v>
      </c>
      <c r="L88" s="1" t="str">
        <f aca="false">IF(ABS(E88-E88)&lt;=01_Lease_Master!$AI$10,"PASS","CHECK")</f>
        <v>PASS</v>
      </c>
      <c r="M88" s="1" t="s">
        <v>126</v>
      </c>
    </row>
    <row r="89" customFormat="false" ht="15" hidden="false" customHeight="true" outlineLevel="0" collapsed="false">
      <c r="A89" s="1" t="s">
        <v>88</v>
      </c>
      <c r="B89" s="1" t="n">
        <v>0</v>
      </c>
      <c r="C89" s="1" t="n">
        <v>10</v>
      </c>
      <c r="D89" s="7" t="n">
        <v>45931</v>
      </c>
      <c r="E89" s="6" t="n">
        <f aca="false">IF(D89&gt;=20_Escalation_Schedule!$B$20,((20_Escalation_Schedule!$D$20)*EXP(IF(D89&gt;=20_Escalation_Schedule!$B$21,LN(1+20_Escalation_Schedule!$D$21),0))),((01_Lease_Master!$I$10)*EXP(IF(D89&gt;=20_Escalation_Schedule!$B$18,LN(1+20_Escalation_Schedule!$D$18),0)+IF(D89&gt;=20_Escalation_Schedule!$B$19,LN(1+20_Escalation_Schedule!$D$19),0))))</f>
        <v>324480</v>
      </c>
      <c r="F89" s="1" t="s">
        <v>126</v>
      </c>
      <c r="G89" s="1" t="n">
        <f aca="false">D89-01_Lease_Master!$D$10</f>
        <v>823</v>
      </c>
      <c r="H89" s="1" t="n">
        <f aca="false">G89/365</f>
        <v>2.25479452054795</v>
      </c>
      <c r="I89" s="1" t="n">
        <f aca="false">01_Lease_Master!$P$10</f>
        <v>0.095</v>
      </c>
      <c r="J89" s="1" t="n">
        <f aca="false">IF(F89="NO",1,1/(1+I89)^H89)</f>
        <v>0.814946802389358</v>
      </c>
      <c r="K89" s="6" t="n">
        <f aca="false">IF(F89="NO",0,E89*J89)</f>
        <v>264433.938439299</v>
      </c>
      <c r="L89" s="1" t="str">
        <f aca="false">IF(ABS(E89-E89)&lt;=01_Lease_Master!$AI$10,"PASS","CHECK")</f>
        <v>PASS</v>
      </c>
      <c r="M89" s="1" t="s">
        <v>126</v>
      </c>
    </row>
    <row r="90" customFormat="false" ht="15" hidden="false" customHeight="true" outlineLevel="0" collapsed="false">
      <c r="A90" s="1" t="s">
        <v>88</v>
      </c>
      <c r="B90" s="1" t="n">
        <v>0</v>
      </c>
      <c r="C90" s="1" t="n">
        <v>11</v>
      </c>
      <c r="D90" s="7" t="n">
        <v>46023</v>
      </c>
      <c r="E90" s="6" t="n">
        <f aca="false">IF(D90&gt;=20_Escalation_Schedule!$B$20,((20_Escalation_Schedule!$D$20)*EXP(IF(D90&gt;=20_Escalation_Schedule!$B$21,LN(1+20_Escalation_Schedule!$D$21),0))),((01_Lease_Master!$I$10)*EXP(IF(D90&gt;=20_Escalation_Schedule!$B$18,LN(1+20_Escalation_Schedule!$D$18),0)+IF(D90&gt;=20_Escalation_Schedule!$B$19,LN(1+20_Escalation_Schedule!$D$19),0))))</f>
        <v>324480</v>
      </c>
      <c r="F90" s="1" t="s">
        <v>126</v>
      </c>
      <c r="G90" s="1" t="n">
        <f aca="false">D90-01_Lease_Master!$D$10</f>
        <v>915</v>
      </c>
      <c r="H90" s="1" t="n">
        <f aca="false">G90/365</f>
        <v>2.50684931506849</v>
      </c>
      <c r="I90" s="1" t="n">
        <f aca="false">01_Lease_Master!$P$10</f>
        <v>0.095</v>
      </c>
      <c r="J90" s="1" t="n">
        <f aca="false">IF(F90="NO",1,1/(1+I90)^H90)</f>
        <v>0.796516436929188</v>
      </c>
      <c r="K90" s="6" t="n">
        <f aca="false">IF(F90="NO",0,E90*J90)</f>
        <v>258453.653454783</v>
      </c>
      <c r="L90" s="1" t="str">
        <f aca="false">IF(ABS(E90-E90)&lt;=01_Lease_Master!$AI$10,"PASS","CHECK")</f>
        <v>PASS</v>
      </c>
      <c r="M90" s="1" t="s">
        <v>126</v>
      </c>
    </row>
    <row r="91" customFormat="false" ht="15" hidden="false" customHeight="true" outlineLevel="0" collapsed="false">
      <c r="A91" s="1" t="s">
        <v>88</v>
      </c>
      <c r="B91" s="1" t="n">
        <v>0</v>
      </c>
      <c r="C91" s="1" t="n">
        <v>12</v>
      </c>
      <c r="D91" s="7" t="n">
        <v>46113</v>
      </c>
      <c r="E91" s="6" t="n">
        <f aca="false">IF(D91&gt;=20_Escalation_Schedule!$B$20,((20_Escalation_Schedule!$D$20)*EXP(IF(D91&gt;=20_Escalation_Schedule!$B$21,LN(1+20_Escalation_Schedule!$D$21),0))),((01_Lease_Master!$I$10)*EXP(IF(D91&gt;=20_Escalation_Schedule!$B$18,LN(1+20_Escalation_Schedule!$D$18),0)+IF(D91&gt;=20_Escalation_Schedule!$B$19,LN(1+20_Escalation_Schedule!$D$19),0))))</f>
        <v>324480</v>
      </c>
      <c r="F91" s="1" t="s">
        <v>126</v>
      </c>
      <c r="G91" s="1" t="n">
        <f aca="false">D91-01_Lease_Master!$D$10</f>
        <v>1005</v>
      </c>
      <c r="H91" s="1" t="n">
        <f aca="false">G91/365</f>
        <v>2.75342465753425</v>
      </c>
      <c r="I91" s="1" t="n">
        <f aca="false">01_Lease_Master!$P$10</f>
        <v>0.095</v>
      </c>
      <c r="J91" s="1" t="n">
        <f aca="false">IF(F91="NO",1,1/(1+I91)^H91)</f>
        <v>0.778890115396461</v>
      </c>
      <c r="K91" s="6" t="n">
        <f aca="false">IF(F91="NO",0,E91*J91)</f>
        <v>252734.264643844</v>
      </c>
      <c r="L91" s="1" t="str">
        <f aca="false">IF(ABS(E91-E91)&lt;=01_Lease_Master!$AI$10,"PASS","CHECK")</f>
        <v>PASS</v>
      </c>
      <c r="M91" s="1" t="s">
        <v>126</v>
      </c>
    </row>
    <row r="92" customFormat="false" ht="15" hidden="false" customHeight="true" outlineLevel="0" collapsed="false">
      <c r="A92" s="1" t="s">
        <v>88</v>
      </c>
      <c r="B92" s="1" t="n">
        <v>0</v>
      </c>
      <c r="C92" s="1" t="n">
        <v>13</v>
      </c>
      <c r="D92" s="7" t="n">
        <v>46204</v>
      </c>
      <c r="E92" s="6" t="n">
        <f aca="false">IF(D92&gt;=20_Escalation_Schedule!$B$20,((20_Escalation_Schedule!$D$20)*EXP(IF(D92&gt;=20_Escalation_Schedule!$B$21,LN(1+20_Escalation_Schedule!$D$21),0))),((01_Lease_Master!$I$10)*EXP(IF(D92&gt;=20_Escalation_Schedule!$B$18,LN(1+20_Escalation_Schedule!$D$18),0)+IF(D92&gt;=20_Escalation_Schedule!$B$19,LN(1+20_Escalation_Schedule!$D$19),0))))</f>
        <v>330000</v>
      </c>
      <c r="F92" s="1" t="s">
        <v>126</v>
      </c>
      <c r="G92" s="1" t="n">
        <f aca="false">D92-01_Lease_Master!$D$10</f>
        <v>1096</v>
      </c>
      <c r="H92" s="1" t="n">
        <f aca="false">G92/365</f>
        <v>3.0027397260274</v>
      </c>
      <c r="I92" s="1" t="n">
        <f aca="false">01_Lease_Master!$P$10</f>
        <v>0.095</v>
      </c>
      <c r="J92" s="1" t="n">
        <f aca="false">IF(F92="NO",1,1/(1+I92)^H92)</f>
        <v>0.761464495700121</v>
      </c>
      <c r="K92" s="6" t="n">
        <f aca="false">IF(F92="NO",0,E92*J92)</f>
        <v>251283.28358104</v>
      </c>
      <c r="L92" s="1" t="str">
        <f aca="false">IF(ABS(E92-E92)&lt;=01_Lease_Master!$AI$10,"PASS","CHECK")</f>
        <v>PASS</v>
      </c>
      <c r="M92" s="1" t="s">
        <v>126</v>
      </c>
    </row>
    <row r="93" customFormat="false" ht="15" hidden="false" customHeight="true" outlineLevel="0" collapsed="false">
      <c r="A93" s="1" t="s">
        <v>88</v>
      </c>
      <c r="B93" s="1" t="n">
        <v>0</v>
      </c>
      <c r="C93" s="1" t="n">
        <v>14</v>
      </c>
      <c r="D93" s="7" t="n">
        <v>46296</v>
      </c>
      <c r="E93" s="6" t="n">
        <f aca="false">IF(D93&gt;=20_Escalation_Schedule!$B$20,((20_Escalation_Schedule!$D$20)*EXP(IF(D93&gt;=20_Escalation_Schedule!$B$21,LN(1+20_Escalation_Schedule!$D$21),0))),((01_Lease_Master!$I$10)*EXP(IF(D93&gt;=20_Escalation_Schedule!$B$18,LN(1+20_Escalation_Schedule!$D$18),0)+IF(D93&gt;=20_Escalation_Schedule!$B$19,LN(1+20_Escalation_Schedule!$D$19),0))))</f>
        <v>330000</v>
      </c>
      <c r="F93" s="1" t="s">
        <v>126</v>
      </c>
      <c r="G93" s="1" t="n">
        <f aca="false">D93-01_Lease_Master!$D$10</f>
        <v>1188</v>
      </c>
      <c r="H93" s="1" t="n">
        <f aca="false">G93/365</f>
        <v>3.25479452054795</v>
      </c>
      <c r="I93" s="1" t="n">
        <f aca="false">01_Lease_Master!$P$10</f>
        <v>0.095</v>
      </c>
      <c r="J93" s="1" t="n">
        <f aca="false">IF(F93="NO",1,1/(1+I93)^H93)</f>
        <v>0.744243655150099</v>
      </c>
      <c r="K93" s="6" t="n">
        <f aca="false">IF(F93="NO",0,E93*J93)</f>
        <v>245600.406199533</v>
      </c>
      <c r="L93" s="1" t="str">
        <f aca="false">IF(ABS(E93-E93)&lt;=01_Lease_Master!$AI$10,"PASS","CHECK")</f>
        <v>PASS</v>
      </c>
      <c r="M93" s="1" t="s">
        <v>126</v>
      </c>
    </row>
    <row r="94" customFormat="false" ht="15" hidden="false" customHeight="true" outlineLevel="0" collapsed="false">
      <c r="A94" s="1" t="s">
        <v>88</v>
      </c>
      <c r="B94" s="1" t="n">
        <v>0</v>
      </c>
      <c r="C94" s="1" t="n">
        <v>15</v>
      </c>
      <c r="D94" s="7" t="n">
        <v>46388</v>
      </c>
      <c r="E94" s="6" t="n">
        <f aca="false">IF(D94&gt;=20_Escalation_Schedule!$B$20,((20_Escalation_Schedule!$D$20)*EXP(IF(D94&gt;=20_Escalation_Schedule!$B$21,LN(1+20_Escalation_Schedule!$D$21),0))),((01_Lease_Master!$I$10)*EXP(IF(D94&gt;=20_Escalation_Schedule!$B$18,LN(1+20_Escalation_Schedule!$D$18),0)+IF(D94&gt;=20_Escalation_Schedule!$B$19,LN(1+20_Escalation_Schedule!$D$19),0))))</f>
        <v>330000</v>
      </c>
      <c r="F94" s="1" t="s">
        <v>126</v>
      </c>
      <c r="G94" s="1" t="n">
        <f aca="false">D94-01_Lease_Master!$D$10</f>
        <v>1280</v>
      </c>
      <c r="H94" s="1" t="n">
        <f aca="false">G94/365</f>
        <v>3.50684931506849</v>
      </c>
      <c r="I94" s="1" t="n">
        <f aca="false">01_Lease_Master!$P$10</f>
        <v>0.095</v>
      </c>
      <c r="J94" s="1" t="n">
        <f aca="false">IF(F94="NO",1,1/(1+I94)^H94)</f>
        <v>0.727412271168208</v>
      </c>
      <c r="K94" s="6" t="n">
        <f aca="false">IF(F94="NO",0,E94*J94)</f>
        <v>240046.049485509</v>
      </c>
      <c r="L94" s="1" t="str">
        <f aca="false">IF(ABS(E94-E94)&lt;=01_Lease_Master!$AI$10,"PASS","CHECK")</f>
        <v>PASS</v>
      </c>
      <c r="M94" s="1" t="s">
        <v>126</v>
      </c>
    </row>
    <row r="95" customFormat="false" ht="15" hidden="false" customHeight="true" outlineLevel="0" collapsed="false">
      <c r="A95" s="1" t="s">
        <v>88</v>
      </c>
      <c r="B95" s="1" t="n">
        <v>0</v>
      </c>
      <c r="C95" s="1" t="n">
        <v>16</v>
      </c>
      <c r="D95" s="7" t="n">
        <v>46478</v>
      </c>
      <c r="E95" s="6" t="n">
        <f aca="false">IF(D95&gt;=20_Escalation_Schedule!$B$20,((20_Escalation_Schedule!$D$20)*EXP(IF(D95&gt;=20_Escalation_Schedule!$B$21,LN(1+20_Escalation_Schedule!$D$21),0))),((01_Lease_Master!$I$10)*EXP(IF(D95&gt;=20_Escalation_Schedule!$B$18,LN(1+20_Escalation_Schedule!$D$18),0)+IF(D95&gt;=20_Escalation_Schedule!$B$19,LN(1+20_Escalation_Schedule!$D$19),0))))</f>
        <v>330000</v>
      </c>
      <c r="F95" s="1" t="s">
        <v>126</v>
      </c>
      <c r="G95" s="1" t="n">
        <f aca="false">D95-01_Lease_Master!$D$10</f>
        <v>1370</v>
      </c>
      <c r="H95" s="1" t="n">
        <f aca="false">G95/365</f>
        <v>3.75342465753425</v>
      </c>
      <c r="I95" s="1" t="n">
        <f aca="false">01_Lease_Master!$P$10</f>
        <v>0.095</v>
      </c>
      <c r="J95" s="1" t="n">
        <f aca="false">IF(F95="NO",1,1/(1+I95)^H95)</f>
        <v>0.711315173878046</v>
      </c>
      <c r="K95" s="6" t="n">
        <f aca="false">IF(F95="NO",0,E95*J95)</f>
        <v>234734.007379755</v>
      </c>
      <c r="L95" s="1" t="str">
        <f aca="false">IF(ABS(E95-E95)&lt;=01_Lease_Master!$AI$10,"PASS","CHECK")</f>
        <v>PASS</v>
      </c>
      <c r="M95" s="1" t="s">
        <v>126</v>
      </c>
    </row>
    <row r="96" customFormat="false" ht="15" hidden="false" customHeight="true" outlineLevel="0" collapsed="false">
      <c r="A96" s="1" t="s">
        <v>88</v>
      </c>
      <c r="B96" s="1" t="n">
        <v>0</v>
      </c>
      <c r="C96" s="1" t="n">
        <v>17</v>
      </c>
      <c r="D96" s="7" t="n">
        <v>46569</v>
      </c>
      <c r="E96" s="6" t="n">
        <f aca="false">IF(D96&gt;=20_Escalation_Schedule!$B$20,((20_Escalation_Schedule!$D$20)*EXP(IF(D96&gt;=20_Escalation_Schedule!$B$21,LN(1+20_Escalation_Schedule!$D$21),0))),((01_Lease_Master!$I$10)*EXP(IF(D96&gt;=20_Escalation_Schedule!$B$18,LN(1+20_Escalation_Schedule!$D$18),0)+IF(D96&gt;=20_Escalation_Schedule!$B$19,LN(1+20_Escalation_Schedule!$D$19),0))))</f>
        <v>343200</v>
      </c>
      <c r="F96" s="1" t="s">
        <v>126</v>
      </c>
      <c r="G96" s="1" t="n">
        <f aca="false">D96-01_Lease_Master!$D$10</f>
        <v>1461</v>
      </c>
      <c r="H96" s="1" t="n">
        <f aca="false">G96/365</f>
        <v>4.0027397260274</v>
      </c>
      <c r="I96" s="1" t="n">
        <f aca="false">01_Lease_Master!$P$10</f>
        <v>0.095</v>
      </c>
      <c r="J96" s="1" t="n">
        <f aca="false">IF(F96="NO",1,1/(1+I96)^H96)</f>
        <v>0.695401365936183</v>
      </c>
      <c r="K96" s="6" t="n">
        <f aca="false">IF(F96="NO",0,E96*J96)</f>
        <v>238661.748789298</v>
      </c>
      <c r="L96" s="1" t="str">
        <f aca="false">IF(ABS(E96-E96)&lt;=01_Lease_Master!$AI$10,"PASS","CHECK")</f>
        <v>PASS</v>
      </c>
      <c r="M96" s="1" t="s">
        <v>126</v>
      </c>
    </row>
    <row r="97" customFormat="false" ht="15" hidden="false" customHeight="true" outlineLevel="0" collapsed="false">
      <c r="A97" s="1" t="s">
        <v>88</v>
      </c>
      <c r="B97" s="1" t="n">
        <v>0</v>
      </c>
      <c r="C97" s="1" t="n">
        <v>18</v>
      </c>
      <c r="D97" s="7" t="n">
        <v>46661</v>
      </c>
      <c r="E97" s="6" t="n">
        <f aca="false">IF(D97&gt;=20_Escalation_Schedule!$B$20,((20_Escalation_Schedule!$D$20)*EXP(IF(D97&gt;=20_Escalation_Schedule!$B$21,LN(1+20_Escalation_Schedule!$D$21),0))),((01_Lease_Master!$I$10)*EXP(IF(D97&gt;=20_Escalation_Schedule!$B$18,LN(1+20_Escalation_Schedule!$D$18),0)+IF(D97&gt;=20_Escalation_Schedule!$B$19,LN(1+20_Escalation_Schedule!$D$19),0))))</f>
        <v>343200</v>
      </c>
      <c r="F97" s="1" t="s">
        <v>126</v>
      </c>
      <c r="G97" s="1" t="n">
        <f aca="false">D97-01_Lease_Master!$D$10</f>
        <v>1553</v>
      </c>
      <c r="H97" s="1" t="n">
        <f aca="false">G97/365</f>
        <v>4.25479452054795</v>
      </c>
      <c r="I97" s="1" t="n">
        <f aca="false">01_Lease_Master!$P$10</f>
        <v>0.095</v>
      </c>
      <c r="J97" s="1" t="n">
        <f aca="false">IF(F97="NO",1,1/(1+I97)^H97)</f>
        <v>0.679674570913332</v>
      </c>
      <c r="K97" s="6" t="n">
        <f aca="false">IF(F97="NO",0,E97*J97)</f>
        <v>233264.312737456</v>
      </c>
      <c r="L97" s="1" t="str">
        <f aca="false">IF(ABS(E97-E97)&lt;=01_Lease_Master!$AI$10,"PASS","CHECK")</f>
        <v>PASS</v>
      </c>
      <c r="M97" s="1" t="s">
        <v>126</v>
      </c>
    </row>
    <row r="98" customFormat="false" ht="15" hidden="false" customHeight="true" outlineLevel="0" collapsed="false">
      <c r="A98" s="1" t="s">
        <v>88</v>
      </c>
      <c r="B98" s="1" t="n">
        <v>0</v>
      </c>
      <c r="C98" s="1" t="n">
        <v>19</v>
      </c>
      <c r="D98" s="7" t="n">
        <v>46753</v>
      </c>
      <c r="E98" s="6" t="n">
        <f aca="false">IF(D98&gt;=20_Escalation_Schedule!$B$20,((20_Escalation_Schedule!$D$20)*EXP(IF(D98&gt;=20_Escalation_Schedule!$B$21,LN(1+20_Escalation_Schedule!$D$21),0))),((01_Lease_Master!$I$10)*EXP(IF(D98&gt;=20_Escalation_Schedule!$B$18,LN(1+20_Escalation_Schedule!$D$18),0)+IF(D98&gt;=20_Escalation_Schedule!$B$19,LN(1+20_Escalation_Schedule!$D$19),0))))</f>
        <v>343200</v>
      </c>
      <c r="F98" s="1" t="s">
        <v>126</v>
      </c>
      <c r="G98" s="1" t="n">
        <f aca="false">D98-01_Lease_Master!$D$10</f>
        <v>1645</v>
      </c>
      <c r="H98" s="1" t="n">
        <f aca="false">G98/365</f>
        <v>4.50684931506849</v>
      </c>
      <c r="I98" s="1" t="n">
        <f aca="false">01_Lease_Master!$P$10</f>
        <v>0.095</v>
      </c>
      <c r="J98" s="1" t="n">
        <f aca="false">IF(F98="NO",1,1/(1+I98)^H98)</f>
        <v>0.664303443989231</v>
      </c>
      <c r="K98" s="6" t="n">
        <f aca="false">IF(F98="NO",0,E98*J98)</f>
        <v>227988.941977104</v>
      </c>
      <c r="L98" s="1" t="str">
        <f aca="false">IF(ABS(E98-E98)&lt;=01_Lease_Master!$AI$10,"PASS","CHECK")</f>
        <v>PASS</v>
      </c>
      <c r="M98" s="1" t="s">
        <v>126</v>
      </c>
    </row>
    <row r="99" customFormat="false" ht="15" hidden="false" customHeight="true" outlineLevel="0" collapsed="false">
      <c r="A99" s="1" t="s">
        <v>88</v>
      </c>
      <c r="B99" s="1" t="n">
        <v>0</v>
      </c>
      <c r="C99" s="1" t="n">
        <v>20</v>
      </c>
      <c r="D99" s="7" t="n">
        <v>46844</v>
      </c>
      <c r="E99" s="6" t="n">
        <f aca="false">IF(D99&gt;=20_Escalation_Schedule!$B$20,((20_Escalation_Schedule!$D$20)*EXP(IF(D99&gt;=20_Escalation_Schedule!$B$21,LN(1+20_Escalation_Schedule!$D$21),0))),((01_Lease_Master!$I$10)*EXP(IF(D99&gt;=20_Escalation_Schedule!$B$18,LN(1+20_Escalation_Schedule!$D$18),0)+IF(D99&gt;=20_Escalation_Schedule!$B$19,LN(1+20_Escalation_Schedule!$D$19),0))))</f>
        <v>343200</v>
      </c>
      <c r="F99" s="1" t="s">
        <v>126</v>
      </c>
      <c r="G99" s="1" t="n">
        <f aca="false">D99-01_Lease_Master!$D$10</f>
        <v>1736</v>
      </c>
      <c r="H99" s="1" t="n">
        <f aca="false">G99/365</f>
        <v>4.75616438356164</v>
      </c>
      <c r="I99" s="1" t="n">
        <f aca="false">01_Lease_Master!$P$10</f>
        <v>0.095</v>
      </c>
      <c r="J99" s="1" t="n">
        <f aca="false">IF(F99="NO",1,1/(1+I99)^H99)</f>
        <v>0.649441399974161</v>
      </c>
      <c r="K99" s="6" t="n">
        <f aca="false">IF(F99="NO",0,E99*J99)</f>
        <v>222888.288471132</v>
      </c>
      <c r="L99" s="1" t="str">
        <f aca="false">IF(ABS(E99-E99)&lt;=01_Lease_Master!$AI$10,"PASS","CHECK")</f>
        <v>PASS</v>
      </c>
      <c r="M99" s="1" t="s">
        <v>126</v>
      </c>
    </row>
    <row r="100" customFormat="false" ht="15" hidden="false" customHeight="true" outlineLevel="0" collapsed="false">
      <c r="A100" s="1" t="s">
        <v>91</v>
      </c>
      <c r="B100" s="1" t="n">
        <v>0</v>
      </c>
      <c r="C100" s="1" t="n">
        <v>1</v>
      </c>
      <c r="D100" s="7" t="n">
        <v>46234</v>
      </c>
      <c r="E100" s="6" t="n">
        <f aca="false">((01_Lease_Master!$I$11)*EXP(IF(D100&gt;=20_Escalation_Schedule!$B$22,LN(1+20_Escalation_Schedule!$D$22),0)+IF(D100&gt;=20_Escalation_Schedule!$B$23,LN(1+20_Escalation_Schedule!$D$23),0)+IF(D100&gt;=20_Escalation_Schedule!$B$24,LN(1+20_Escalation_Schedule!$D$24),0)))</f>
        <v>80000</v>
      </c>
      <c r="F100" s="1" t="s">
        <v>126</v>
      </c>
      <c r="G100" s="1" t="n">
        <f aca="false">D100-01_Lease_Master!$D$11</f>
        <v>30</v>
      </c>
      <c r="H100" s="1" t="n">
        <f aca="false">G100/365</f>
        <v>0.0821917808219178</v>
      </c>
      <c r="I100" s="1" t="n">
        <f aca="false">01_Lease_Master!$P$11</f>
        <v>0.085</v>
      </c>
      <c r="J100" s="1" t="n">
        <f aca="false">IF(F100="NO",1,1/(1+I100)^H100)</f>
        <v>0.993317225312797</v>
      </c>
      <c r="K100" s="6" t="n">
        <f aca="false">IF(F100="NO",0,E100*J100)</f>
        <v>79465.3780250238</v>
      </c>
      <c r="L100" s="1" t="str">
        <f aca="false">IF(ABS(E100-E100)&lt;=01_Lease_Master!$AI$11,"PASS","CHECK")</f>
        <v>PASS</v>
      </c>
      <c r="M100" s="1" t="s">
        <v>126</v>
      </c>
    </row>
    <row r="101" customFormat="false" ht="15" hidden="false" customHeight="true" outlineLevel="0" collapsed="false">
      <c r="A101" s="1" t="s">
        <v>91</v>
      </c>
      <c r="B101" s="1" t="n">
        <v>0</v>
      </c>
      <c r="C101" s="1" t="n">
        <v>2</v>
      </c>
      <c r="D101" s="7" t="n">
        <v>46265</v>
      </c>
      <c r="E101" s="6" t="n">
        <f aca="false">((01_Lease_Master!$I$11)*EXP(IF(D101&gt;=20_Escalation_Schedule!$B$22,LN(1+20_Escalation_Schedule!$D$22),0)+IF(D101&gt;=20_Escalation_Schedule!$B$23,LN(1+20_Escalation_Schedule!$D$23),0)+IF(D101&gt;=20_Escalation_Schedule!$B$24,LN(1+20_Escalation_Schedule!$D$24),0)))</f>
        <v>80000</v>
      </c>
      <c r="F101" s="1" t="s">
        <v>126</v>
      </c>
      <c r="G101" s="1" t="n">
        <f aca="false">D101-01_Lease_Master!$D$11</f>
        <v>61</v>
      </c>
      <c r="H101" s="1" t="n">
        <f aca="false">G101/365</f>
        <v>0.167123287671233</v>
      </c>
      <c r="I101" s="1" t="n">
        <f aca="false">01_Lease_Master!$P$11</f>
        <v>0.085</v>
      </c>
      <c r="J101" s="1" t="n">
        <f aca="false">IF(F101="NO",1,1/(1+I101)^H101)</f>
        <v>0.98645860524218</v>
      </c>
      <c r="K101" s="6" t="n">
        <f aca="false">IF(F101="NO",0,E101*J101)</f>
        <v>78916.6884193744</v>
      </c>
      <c r="L101" s="1" t="str">
        <f aca="false">IF(ABS(E101-E101)&lt;=01_Lease_Master!$AI$11,"PASS","CHECK")</f>
        <v>PASS</v>
      </c>
      <c r="M101" s="1" t="s">
        <v>126</v>
      </c>
    </row>
    <row r="102" customFormat="false" ht="15" hidden="false" customHeight="true" outlineLevel="0" collapsed="false">
      <c r="A102" s="1" t="s">
        <v>91</v>
      </c>
      <c r="B102" s="1" t="n">
        <v>0</v>
      </c>
      <c r="C102" s="1" t="n">
        <v>3</v>
      </c>
      <c r="D102" s="7" t="n">
        <v>46295</v>
      </c>
      <c r="E102" s="6" t="n">
        <f aca="false">((01_Lease_Master!$I$11)*EXP(IF(D102&gt;=20_Escalation_Schedule!$B$22,LN(1+20_Escalation_Schedule!$D$22),0)+IF(D102&gt;=20_Escalation_Schedule!$B$23,LN(1+20_Escalation_Schedule!$D$23),0)+IF(D102&gt;=20_Escalation_Schedule!$B$24,LN(1+20_Escalation_Schedule!$D$24),0)))</f>
        <v>80000</v>
      </c>
      <c r="F102" s="1" t="s">
        <v>126</v>
      </c>
      <c r="G102" s="1" t="n">
        <f aca="false">D102-01_Lease_Master!$D$11</f>
        <v>91</v>
      </c>
      <c r="H102" s="1" t="n">
        <f aca="false">G102/365</f>
        <v>0.249315068493151</v>
      </c>
      <c r="I102" s="1" t="n">
        <f aca="false">01_Lease_Master!$P$11</f>
        <v>0.085</v>
      </c>
      <c r="J102" s="1" t="n">
        <f aca="false">IF(F102="NO",1,1/(1+I102)^H102)</f>
        <v>0.979866324645094</v>
      </c>
      <c r="K102" s="6" t="n">
        <f aca="false">IF(F102="NO",0,E102*J102)</f>
        <v>78389.3059716075</v>
      </c>
      <c r="L102" s="1" t="str">
        <f aca="false">IF(ABS(E102-E102)&lt;=01_Lease_Master!$AI$11,"PASS","CHECK")</f>
        <v>PASS</v>
      </c>
      <c r="M102" s="1" t="s">
        <v>126</v>
      </c>
    </row>
    <row r="103" customFormat="false" ht="15" hidden="false" customHeight="true" outlineLevel="0" collapsed="false">
      <c r="A103" s="1" t="s">
        <v>91</v>
      </c>
      <c r="B103" s="1" t="n">
        <v>0</v>
      </c>
      <c r="C103" s="1" t="n">
        <v>4</v>
      </c>
      <c r="D103" s="7" t="n">
        <v>46325</v>
      </c>
      <c r="E103" s="6" t="n">
        <f aca="false">((01_Lease_Master!$I$11)*EXP(IF(D103&gt;=20_Escalation_Schedule!$B$22,LN(1+20_Escalation_Schedule!$D$22),0)+IF(D103&gt;=20_Escalation_Schedule!$B$23,LN(1+20_Escalation_Schedule!$D$23),0)+IF(D103&gt;=20_Escalation_Schedule!$B$24,LN(1+20_Escalation_Schedule!$D$24),0)))</f>
        <v>80000</v>
      </c>
      <c r="F103" s="1" t="s">
        <v>126</v>
      </c>
      <c r="G103" s="1" t="n">
        <f aca="false">D103-01_Lease_Master!$D$11</f>
        <v>121</v>
      </c>
      <c r="H103" s="1" t="n">
        <f aca="false">G103/365</f>
        <v>0.331506849315069</v>
      </c>
      <c r="I103" s="1" t="n">
        <f aca="false">01_Lease_Master!$P$11</f>
        <v>0.085</v>
      </c>
      <c r="J103" s="1" t="n">
        <f aca="false">IF(F103="NO",1,1/(1+I103)^H103)</f>
        <v>0.973318098773913</v>
      </c>
      <c r="K103" s="6" t="n">
        <f aca="false">IF(F103="NO",0,E103*J103)</f>
        <v>77865.447901913</v>
      </c>
      <c r="L103" s="1" t="str">
        <f aca="false">IF(ABS(E103-E103)&lt;=01_Lease_Master!$AI$11,"PASS","CHECK")</f>
        <v>PASS</v>
      </c>
      <c r="M103" s="1" t="s">
        <v>126</v>
      </c>
    </row>
    <row r="104" customFormat="false" ht="15" hidden="false" customHeight="true" outlineLevel="0" collapsed="false">
      <c r="A104" s="1" t="s">
        <v>91</v>
      </c>
      <c r="B104" s="1" t="n">
        <v>0</v>
      </c>
      <c r="C104" s="1" t="n">
        <v>5</v>
      </c>
      <c r="D104" s="7" t="n">
        <v>46356</v>
      </c>
      <c r="E104" s="6" t="n">
        <f aca="false">((01_Lease_Master!$I$11)*EXP(IF(D104&gt;=20_Escalation_Schedule!$B$22,LN(1+20_Escalation_Schedule!$D$22),0)+IF(D104&gt;=20_Escalation_Schedule!$B$23,LN(1+20_Escalation_Schedule!$D$23),0)+IF(D104&gt;=20_Escalation_Schedule!$B$24,LN(1+20_Escalation_Schedule!$D$24),0)))</f>
        <v>80000</v>
      </c>
      <c r="F104" s="1" t="s">
        <v>126</v>
      </c>
      <c r="G104" s="1" t="n">
        <f aca="false">D104-01_Lease_Master!$D$11</f>
        <v>152</v>
      </c>
      <c r="H104" s="1" t="n">
        <f aca="false">G104/365</f>
        <v>0.416438356164384</v>
      </c>
      <c r="I104" s="1" t="n">
        <f aca="false">01_Lease_Master!$P$11</f>
        <v>0.085</v>
      </c>
      <c r="J104" s="1" t="n">
        <f aca="false">IF(F104="NO",1,1/(1+I104)^H104)</f>
        <v>0.96659756793318</v>
      </c>
      <c r="K104" s="6" t="n">
        <f aca="false">IF(F104="NO",0,E104*J104)</f>
        <v>77327.8054346544</v>
      </c>
      <c r="L104" s="1" t="str">
        <f aca="false">IF(ABS(E104-E104)&lt;=01_Lease_Master!$AI$11,"PASS","CHECK")</f>
        <v>PASS</v>
      </c>
      <c r="M104" s="1" t="s">
        <v>126</v>
      </c>
    </row>
    <row r="105" customFormat="false" ht="15" hidden="false" customHeight="true" outlineLevel="0" collapsed="false">
      <c r="A105" s="1" t="s">
        <v>91</v>
      </c>
      <c r="B105" s="1" t="n">
        <v>0</v>
      </c>
      <c r="C105" s="1" t="n">
        <v>6</v>
      </c>
      <c r="D105" s="7" t="n">
        <v>46386</v>
      </c>
      <c r="E105" s="6" t="n">
        <f aca="false">((01_Lease_Master!$I$11)*EXP(IF(D105&gt;=20_Escalation_Schedule!$B$22,LN(1+20_Escalation_Schedule!$D$22),0)+IF(D105&gt;=20_Escalation_Schedule!$B$23,LN(1+20_Escalation_Schedule!$D$23),0)+IF(D105&gt;=20_Escalation_Schedule!$B$24,LN(1+20_Escalation_Schedule!$D$24),0)))</f>
        <v>80000</v>
      </c>
      <c r="F105" s="1" t="s">
        <v>126</v>
      </c>
      <c r="G105" s="1" t="n">
        <f aca="false">D105-01_Lease_Master!$D$11</f>
        <v>182</v>
      </c>
      <c r="H105" s="1" t="n">
        <f aca="false">G105/365</f>
        <v>0.498630136986301</v>
      </c>
      <c r="I105" s="1" t="n">
        <f aca="false">01_Lease_Master!$P$11</f>
        <v>0.085</v>
      </c>
      <c r="J105" s="1" t="n">
        <f aca="false">IF(F105="NO",1,1/(1+I105)^H105)</f>
        <v>0.960138014173484</v>
      </c>
      <c r="K105" s="6" t="n">
        <f aca="false">IF(F105="NO",0,E105*J105)</f>
        <v>76811.0411338787</v>
      </c>
      <c r="L105" s="1" t="str">
        <f aca="false">IF(ABS(E105-E105)&lt;=01_Lease_Master!$AI$11,"PASS","CHECK")</f>
        <v>PASS</v>
      </c>
      <c r="M105" s="1" t="s">
        <v>126</v>
      </c>
    </row>
    <row r="106" customFormat="false" ht="15" hidden="false" customHeight="true" outlineLevel="0" collapsed="false">
      <c r="A106" s="1" t="s">
        <v>91</v>
      </c>
      <c r="B106" s="1" t="n">
        <v>0</v>
      </c>
      <c r="C106" s="1" t="n">
        <v>7</v>
      </c>
      <c r="D106" s="7" t="n">
        <v>46417</v>
      </c>
      <c r="E106" s="6" t="n">
        <f aca="false">((01_Lease_Master!$I$11)*EXP(IF(D106&gt;=20_Escalation_Schedule!$B$22,LN(1+20_Escalation_Schedule!$D$22),0)+IF(D106&gt;=20_Escalation_Schedule!$B$23,LN(1+20_Escalation_Schedule!$D$23),0)+IF(D106&gt;=20_Escalation_Schedule!$B$24,LN(1+20_Escalation_Schedule!$D$24),0)))</f>
        <v>80000</v>
      </c>
      <c r="F106" s="1" t="s">
        <v>126</v>
      </c>
      <c r="G106" s="1" t="n">
        <f aca="false">D106-01_Lease_Master!$D$11</f>
        <v>213</v>
      </c>
      <c r="H106" s="1" t="n">
        <f aca="false">G106/365</f>
        <v>0.583561643835617</v>
      </c>
      <c r="I106" s="1" t="n">
        <f aca="false">01_Lease_Master!$P$11</f>
        <v>0.085</v>
      </c>
      <c r="J106" s="1" t="n">
        <f aca="false">IF(F106="NO",1,1/(1+I106)^H106)</f>
        <v>0.953508488693848</v>
      </c>
      <c r="K106" s="6" t="n">
        <f aca="false">IF(F106="NO",0,E106*J106)</f>
        <v>76280.6790955078</v>
      </c>
      <c r="L106" s="1" t="str">
        <f aca="false">IF(ABS(E106-E106)&lt;=01_Lease_Master!$AI$11,"PASS","CHECK")</f>
        <v>PASS</v>
      </c>
      <c r="M106" s="1" t="s">
        <v>126</v>
      </c>
    </row>
    <row r="107" customFormat="false" ht="15" hidden="false" customHeight="true" outlineLevel="0" collapsed="false">
      <c r="A107" s="1" t="s">
        <v>91</v>
      </c>
      <c r="B107" s="1" t="n">
        <v>0</v>
      </c>
      <c r="C107" s="1" t="n">
        <v>8</v>
      </c>
      <c r="D107" s="7" t="n">
        <v>46446</v>
      </c>
      <c r="E107" s="6" t="n">
        <f aca="false">((01_Lease_Master!$I$11)*EXP(IF(D107&gt;=20_Escalation_Schedule!$B$22,LN(1+20_Escalation_Schedule!$D$22),0)+IF(D107&gt;=20_Escalation_Schedule!$B$23,LN(1+20_Escalation_Schedule!$D$23),0)+IF(D107&gt;=20_Escalation_Schedule!$B$24,LN(1+20_Escalation_Schedule!$D$24),0)))</f>
        <v>80000</v>
      </c>
      <c r="F107" s="1" t="s">
        <v>126</v>
      </c>
      <c r="G107" s="1" t="n">
        <f aca="false">D107-01_Lease_Master!$D$11</f>
        <v>242</v>
      </c>
      <c r="H107" s="1" t="n">
        <f aca="false">G107/365</f>
        <v>0.663013698630137</v>
      </c>
      <c r="I107" s="1" t="n">
        <f aca="false">01_Lease_Master!$P$11</f>
        <v>0.085</v>
      </c>
      <c r="J107" s="1" t="n">
        <f aca="false">IF(F107="NO",1,1/(1+I107)^H107)</f>
        <v>0.947348121400864</v>
      </c>
      <c r="K107" s="6" t="n">
        <f aca="false">IF(F107="NO",0,E107*J107)</f>
        <v>75787.8497120692</v>
      </c>
      <c r="L107" s="1" t="str">
        <f aca="false">IF(ABS(E107-E107)&lt;=01_Lease_Master!$AI$11,"PASS","CHECK")</f>
        <v>PASS</v>
      </c>
      <c r="M107" s="1" t="s">
        <v>126</v>
      </c>
    </row>
    <row r="108" customFormat="false" ht="15" hidden="false" customHeight="true" outlineLevel="0" collapsed="false">
      <c r="A108" s="1" t="s">
        <v>91</v>
      </c>
      <c r="B108" s="1" t="n">
        <v>0</v>
      </c>
      <c r="C108" s="1" t="n">
        <v>9</v>
      </c>
      <c r="D108" s="7" t="n">
        <v>46474</v>
      </c>
      <c r="E108" s="6" t="n">
        <f aca="false">((01_Lease_Master!$I$11)*EXP(IF(D108&gt;=20_Escalation_Schedule!$B$22,LN(1+20_Escalation_Schedule!$D$22),0)+IF(D108&gt;=20_Escalation_Schedule!$B$23,LN(1+20_Escalation_Schedule!$D$23),0)+IF(D108&gt;=20_Escalation_Schedule!$B$24,LN(1+20_Escalation_Schedule!$D$24),0)))</f>
        <v>80000</v>
      </c>
      <c r="F108" s="1" t="s">
        <v>126</v>
      </c>
      <c r="G108" s="1" t="n">
        <f aca="false">D108-01_Lease_Master!$D$11</f>
        <v>270</v>
      </c>
      <c r="H108" s="1" t="n">
        <f aca="false">G108/365</f>
        <v>0.73972602739726</v>
      </c>
      <c r="I108" s="1" t="n">
        <f aca="false">01_Lease_Master!$P$11</f>
        <v>0.085</v>
      </c>
      <c r="J108" s="1" t="n">
        <f aca="false">IF(F108="NO",1,1/(1+I108)^H108)</f>
        <v>0.941437948902058</v>
      </c>
      <c r="K108" s="6" t="n">
        <f aca="false">IF(F108="NO",0,E108*J108)</f>
        <v>75315.0359121646</v>
      </c>
      <c r="L108" s="1" t="str">
        <f aca="false">IF(ABS(E108-E108)&lt;=01_Lease_Master!$AI$11,"PASS","CHECK")</f>
        <v>PASS</v>
      </c>
      <c r="M108" s="1" t="s">
        <v>126</v>
      </c>
    </row>
    <row r="109" customFormat="false" ht="15" hidden="false" customHeight="true" outlineLevel="0" collapsed="false">
      <c r="A109" s="1" t="s">
        <v>91</v>
      </c>
      <c r="B109" s="1" t="n">
        <v>0</v>
      </c>
      <c r="C109" s="1" t="n">
        <v>10</v>
      </c>
      <c r="D109" s="7" t="n">
        <v>46505</v>
      </c>
      <c r="E109" s="6" t="n">
        <f aca="false">((01_Lease_Master!$I$11)*EXP(IF(D109&gt;=20_Escalation_Schedule!$B$22,LN(1+20_Escalation_Schedule!$D$22),0)+IF(D109&gt;=20_Escalation_Schedule!$B$23,LN(1+20_Escalation_Schedule!$D$23),0)+IF(D109&gt;=20_Escalation_Schedule!$B$24,LN(1+20_Escalation_Schedule!$D$24),0)))</f>
        <v>80000</v>
      </c>
      <c r="F109" s="1" t="s">
        <v>126</v>
      </c>
      <c r="G109" s="1" t="n">
        <f aca="false">D109-01_Lease_Master!$D$11</f>
        <v>301</v>
      </c>
      <c r="H109" s="1" t="n">
        <f aca="false">G109/365</f>
        <v>0.824657534246575</v>
      </c>
      <c r="I109" s="1" t="n">
        <f aca="false">01_Lease_Master!$P$11</f>
        <v>0.085</v>
      </c>
      <c r="J109" s="1" t="n">
        <f aca="false">IF(F109="NO",1,1/(1+I109)^H109)</f>
        <v>0.934937542942071</v>
      </c>
      <c r="K109" s="6" t="n">
        <f aca="false">IF(F109="NO",0,E109*J109)</f>
        <v>74795.0034353657</v>
      </c>
      <c r="L109" s="1" t="str">
        <f aca="false">IF(ABS(E109-E109)&lt;=01_Lease_Master!$AI$11,"PASS","CHECK")</f>
        <v>PASS</v>
      </c>
      <c r="M109" s="1" t="s">
        <v>126</v>
      </c>
    </row>
    <row r="110" customFormat="false" ht="15" hidden="false" customHeight="true" outlineLevel="0" collapsed="false">
      <c r="A110" s="1" t="s">
        <v>91</v>
      </c>
      <c r="B110" s="1" t="n">
        <v>0</v>
      </c>
      <c r="C110" s="1" t="n">
        <v>11</v>
      </c>
      <c r="D110" s="7" t="n">
        <v>46535</v>
      </c>
      <c r="E110" s="6" t="n">
        <f aca="false">((01_Lease_Master!$I$11)*EXP(IF(D110&gt;=20_Escalation_Schedule!$B$22,LN(1+20_Escalation_Schedule!$D$22),0)+IF(D110&gt;=20_Escalation_Schedule!$B$23,LN(1+20_Escalation_Schedule!$D$23),0)+IF(D110&gt;=20_Escalation_Schedule!$B$24,LN(1+20_Escalation_Schedule!$D$24),0)))</f>
        <v>80000</v>
      </c>
      <c r="F110" s="1" t="s">
        <v>126</v>
      </c>
      <c r="G110" s="1" t="n">
        <f aca="false">D110-01_Lease_Master!$D$11</f>
        <v>331</v>
      </c>
      <c r="H110" s="1" t="n">
        <f aca="false">G110/365</f>
        <v>0.906849315068493</v>
      </c>
      <c r="I110" s="1" t="n">
        <f aca="false">01_Lease_Master!$P$11</f>
        <v>0.085</v>
      </c>
      <c r="J110" s="1" t="n">
        <f aca="false">IF(F110="NO",1,1/(1+I110)^H110)</f>
        <v>0.928689565995982</v>
      </c>
      <c r="K110" s="6" t="n">
        <f aca="false">IF(F110="NO",0,E110*J110)</f>
        <v>74295.1652796786</v>
      </c>
      <c r="L110" s="1" t="str">
        <f aca="false">IF(ABS(E110-E110)&lt;=01_Lease_Master!$AI$11,"PASS","CHECK")</f>
        <v>PASS</v>
      </c>
      <c r="M110" s="1" t="s">
        <v>126</v>
      </c>
    </row>
    <row r="111" customFormat="false" ht="15" hidden="false" customHeight="true" outlineLevel="0" collapsed="false">
      <c r="A111" s="1" t="s">
        <v>91</v>
      </c>
      <c r="B111" s="1" t="n">
        <v>0</v>
      </c>
      <c r="C111" s="1" t="n">
        <v>12</v>
      </c>
      <c r="D111" s="7" t="n">
        <v>46566</v>
      </c>
      <c r="E111" s="6" t="n">
        <f aca="false">((01_Lease_Master!$I$11)*EXP(IF(D111&gt;=20_Escalation_Schedule!$B$22,LN(1+20_Escalation_Schedule!$D$22),0)+IF(D111&gt;=20_Escalation_Schedule!$B$23,LN(1+20_Escalation_Schedule!$D$23),0)+IF(D111&gt;=20_Escalation_Schedule!$B$24,LN(1+20_Escalation_Schedule!$D$24),0)))</f>
        <v>80000</v>
      </c>
      <c r="F111" s="1" t="s">
        <v>126</v>
      </c>
      <c r="G111" s="1" t="n">
        <f aca="false">D111-01_Lease_Master!$D$11</f>
        <v>362</v>
      </c>
      <c r="H111" s="1" t="n">
        <f aca="false">G111/365</f>
        <v>0.991780821917808</v>
      </c>
      <c r="I111" s="1" t="n">
        <f aca="false">01_Lease_Master!$P$11</f>
        <v>0.085</v>
      </c>
      <c r="J111" s="1" t="n">
        <f aca="false">IF(F111="NO",1,1/(1+I111)^H111)</f>
        <v>0.922277184599186</v>
      </c>
      <c r="K111" s="6" t="n">
        <f aca="false">IF(F111="NO",0,E111*J111)</f>
        <v>73782.1747679349</v>
      </c>
      <c r="L111" s="1" t="str">
        <f aca="false">IF(ABS(E111-E111)&lt;=01_Lease_Master!$AI$11,"PASS","CHECK")</f>
        <v>PASS</v>
      </c>
      <c r="M111" s="1" t="s">
        <v>126</v>
      </c>
    </row>
    <row r="112" customFormat="false" ht="15" hidden="false" customHeight="true" outlineLevel="0" collapsed="false">
      <c r="A112" s="1" t="s">
        <v>91</v>
      </c>
      <c r="B112" s="1" t="n">
        <v>0</v>
      </c>
      <c r="C112" s="1" t="n">
        <v>13</v>
      </c>
      <c r="D112" s="7" t="n">
        <v>46596</v>
      </c>
      <c r="E112" s="6" t="n">
        <f aca="false">((01_Lease_Master!$I$11)*EXP(IF(D112&gt;=20_Escalation_Schedule!$B$22,LN(1+20_Escalation_Schedule!$D$22),0)+IF(D112&gt;=20_Escalation_Schedule!$B$23,LN(1+20_Escalation_Schedule!$D$23),0)+IF(D112&gt;=20_Escalation_Schedule!$B$24,LN(1+20_Escalation_Schedule!$D$24),0)))</f>
        <v>82400</v>
      </c>
      <c r="F112" s="1" t="s">
        <v>126</v>
      </c>
      <c r="G112" s="1" t="n">
        <f aca="false">D112-01_Lease_Master!$D$11</f>
        <v>392</v>
      </c>
      <c r="H112" s="1" t="n">
        <f aca="false">G112/365</f>
        <v>1.07397260273973</v>
      </c>
      <c r="I112" s="1" t="n">
        <f aca="false">01_Lease_Master!$P$11</f>
        <v>0.085</v>
      </c>
      <c r="J112" s="1" t="n">
        <f aca="false">IF(F112="NO",1,1/(1+I112)^H112)</f>
        <v>0.916113813975362</v>
      </c>
      <c r="K112" s="6" t="n">
        <f aca="false">IF(F112="NO",0,E112*J112)</f>
        <v>75487.7782715698</v>
      </c>
      <c r="L112" s="1" t="str">
        <f aca="false">IF(ABS(E112-E112)&lt;=01_Lease_Master!$AI$11,"PASS","CHECK")</f>
        <v>PASS</v>
      </c>
      <c r="M112" s="1" t="s">
        <v>126</v>
      </c>
    </row>
    <row r="113" customFormat="false" ht="15" hidden="false" customHeight="true" outlineLevel="0" collapsed="false">
      <c r="A113" s="1" t="s">
        <v>91</v>
      </c>
      <c r="B113" s="1" t="n">
        <v>0</v>
      </c>
      <c r="C113" s="1" t="n">
        <v>14</v>
      </c>
      <c r="D113" s="7" t="n">
        <v>46627</v>
      </c>
      <c r="E113" s="6" t="n">
        <f aca="false">((01_Lease_Master!$I$11)*EXP(IF(D113&gt;=20_Escalation_Schedule!$B$22,LN(1+20_Escalation_Schedule!$D$22),0)+IF(D113&gt;=20_Escalation_Schedule!$B$23,LN(1+20_Escalation_Schedule!$D$23),0)+IF(D113&gt;=20_Escalation_Schedule!$B$24,LN(1+20_Escalation_Schedule!$D$24),0)))</f>
        <v>82400</v>
      </c>
      <c r="F113" s="1" t="s">
        <v>126</v>
      </c>
      <c r="G113" s="1" t="n">
        <f aca="false">D113-01_Lease_Master!$D$11</f>
        <v>423</v>
      </c>
      <c r="H113" s="1" t="n">
        <f aca="false">G113/365</f>
        <v>1.15890410958904</v>
      </c>
      <c r="I113" s="1" t="n">
        <f aca="false">01_Lease_Master!$P$11</f>
        <v>0.085</v>
      </c>
      <c r="J113" s="1" t="n">
        <f aca="false">IF(F113="NO",1,1/(1+I113)^H113)</f>
        <v>0.909788265166398</v>
      </c>
      <c r="K113" s="6" t="n">
        <f aca="false">IF(F113="NO",0,E113*J113)</f>
        <v>74966.5530497112</v>
      </c>
      <c r="L113" s="1" t="str">
        <f aca="false">IF(ABS(E113-E113)&lt;=01_Lease_Master!$AI$11,"PASS","CHECK")</f>
        <v>PASS</v>
      </c>
      <c r="M113" s="1" t="s">
        <v>126</v>
      </c>
    </row>
    <row r="114" customFormat="false" ht="15" hidden="false" customHeight="true" outlineLevel="0" collapsed="false">
      <c r="A114" s="1" t="s">
        <v>91</v>
      </c>
      <c r="B114" s="1" t="n">
        <v>0</v>
      </c>
      <c r="C114" s="1" t="n">
        <v>15</v>
      </c>
      <c r="D114" s="7" t="n">
        <v>46658</v>
      </c>
      <c r="E114" s="6" t="n">
        <f aca="false">((01_Lease_Master!$I$11)*EXP(IF(D114&gt;=20_Escalation_Schedule!$B$22,LN(1+20_Escalation_Schedule!$D$22),0)+IF(D114&gt;=20_Escalation_Schedule!$B$23,LN(1+20_Escalation_Schedule!$D$23),0)+IF(D114&gt;=20_Escalation_Schedule!$B$24,LN(1+20_Escalation_Schedule!$D$24),0)))</f>
        <v>82400</v>
      </c>
      <c r="F114" s="1" t="s">
        <v>126</v>
      </c>
      <c r="G114" s="1" t="n">
        <f aca="false">D114-01_Lease_Master!$D$11</f>
        <v>454</v>
      </c>
      <c r="H114" s="1" t="n">
        <f aca="false">G114/365</f>
        <v>1.24383561643836</v>
      </c>
      <c r="I114" s="1" t="n">
        <f aca="false">01_Lease_Master!$P$11</f>
        <v>0.085</v>
      </c>
      <c r="J114" s="1" t="n">
        <f aca="false">IF(F114="NO",1,1/(1+I114)^H114)</f>
        <v>0.903506392773097</v>
      </c>
      <c r="K114" s="6" t="n">
        <f aca="false">IF(F114="NO",0,E114*J114)</f>
        <v>74448.9267645032</v>
      </c>
      <c r="L114" s="1" t="str">
        <f aca="false">IF(ABS(E114-E114)&lt;=01_Lease_Master!$AI$11,"PASS","CHECK")</f>
        <v>PASS</v>
      </c>
      <c r="M114" s="1" t="s">
        <v>126</v>
      </c>
    </row>
    <row r="115" customFormat="false" ht="15" hidden="false" customHeight="true" outlineLevel="0" collapsed="false">
      <c r="A115" s="1" t="s">
        <v>91</v>
      </c>
      <c r="B115" s="1" t="n">
        <v>0</v>
      </c>
      <c r="C115" s="1" t="n">
        <v>16</v>
      </c>
      <c r="D115" s="7" t="n">
        <v>46688</v>
      </c>
      <c r="E115" s="6" t="n">
        <f aca="false">((01_Lease_Master!$I$11)*EXP(IF(D115&gt;=20_Escalation_Schedule!$B$22,LN(1+20_Escalation_Schedule!$D$22),0)+IF(D115&gt;=20_Escalation_Schedule!$B$23,LN(1+20_Escalation_Schedule!$D$23),0)+IF(D115&gt;=20_Escalation_Schedule!$B$24,LN(1+20_Escalation_Schedule!$D$24),0)))</f>
        <v>82400</v>
      </c>
      <c r="F115" s="1" t="s">
        <v>126</v>
      </c>
      <c r="G115" s="1" t="n">
        <f aca="false">D115-01_Lease_Master!$D$11</f>
        <v>484</v>
      </c>
      <c r="H115" s="1" t="n">
        <f aca="false">G115/365</f>
        <v>1.32602739726027</v>
      </c>
      <c r="I115" s="1" t="n">
        <f aca="false">01_Lease_Master!$P$11</f>
        <v>0.085</v>
      </c>
      <c r="J115" s="1" t="n">
        <f aca="false">IF(F115="NO",1,1/(1+I115)^H115)</f>
        <v>0.897468463121747</v>
      </c>
      <c r="K115" s="6" t="n">
        <f aca="false">IF(F115="NO",0,E115*J115)</f>
        <v>73951.4013612319</v>
      </c>
      <c r="L115" s="1" t="str">
        <f aca="false">IF(ABS(E115-E115)&lt;=01_Lease_Master!$AI$11,"PASS","CHECK")</f>
        <v>PASS</v>
      </c>
      <c r="M115" s="1" t="s">
        <v>126</v>
      </c>
    </row>
    <row r="116" customFormat="false" ht="15" hidden="false" customHeight="true" outlineLevel="0" collapsed="false">
      <c r="A116" s="1" t="s">
        <v>91</v>
      </c>
      <c r="B116" s="1" t="n">
        <v>0</v>
      </c>
      <c r="C116" s="1" t="n">
        <v>17</v>
      </c>
      <c r="D116" s="7" t="n">
        <v>46719</v>
      </c>
      <c r="E116" s="6" t="n">
        <f aca="false">((01_Lease_Master!$I$11)*EXP(IF(D116&gt;=20_Escalation_Schedule!$B$22,LN(1+20_Escalation_Schedule!$D$22),0)+IF(D116&gt;=20_Escalation_Schedule!$B$23,LN(1+20_Escalation_Schedule!$D$23),0)+IF(D116&gt;=20_Escalation_Schedule!$B$24,LN(1+20_Escalation_Schedule!$D$24),0)))</f>
        <v>82400</v>
      </c>
      <c r="F116" s="1" t="s">
        <v>126</v>
      </c>
      <c r="G116" s="1" t="n">
        <f aca="false">D116-01_Lease_Master!$D$11</f>
        <v>515</v>
      </c>
      <c r="H116" s="1" t="n">
        <f aca="false">G116/365</f>
        <v>1.41095890410959</v>
      </c>
      <c r="I116" s="1" t="n">
        <f aca="false">01_Lease_Master!$P$11</f>
        <v>0.085</v>
      </c>
      <c r="J116" s="1" t="n">
        <f aca="false">IF(F116="NO",1,1/(1+I116)^H116)</f>
        <v>0.891271656042342</v>
      </c>
      <c r="K116" s="6" t="n">
        <f aca="false">IF(F116="NO",0,E116*J116)</f>
        <v>73440.784457889</v>
      </c>
      <c r="L116" s="1" t="str">
        <f aca="false">IF(ABS(E116-E116)&lt;=01_Lease_Master!$AI$11,"PASS","CHECK")</f>
        <v>PASS</v>
      </c>
      <c r="M116" s="1" t="s">
        <v>126</v>
      </c>
    </row>
    <row r="117" customFormat="false" ht="15" hidden="false" customHeight="true" outlineLevel="0" collapsed="false">
      <c r="A117" s="1" t="s">
        <v>91</v>
      </c>
      <c r="B117" s="1" t="n">
        <v>0</v>
      </c>
      <c r="C117" s="1" t="n">
        <v>18</v>
      </c>
      <c r="D117" s="7" t="n">
        <v>46749</v>
      </c>
      <c r="E117" s="6" t="n">
        <f aca="false">((01_Lease_Master!$I$11)*EXP(IF(D117&gt;=20_Escalation_Schedule!$B$22,LN(1+20_Escalation_Schedule!$D$22),0)+IF(D117&gt;=20_Escalation_Schedule!$B$23,LN(1+20_Escalation_Schedule!$D$23),0)+IF(D117&gt;=20_Escalation_Schedule!$B$24,LN(1+20_Escalation_Schedule!$D$24),0)))</f>
        <v>82400</v>
      </c>
      <c r="F117" s="1" t="s">
        <v>126</v>
      </c>
      <c r="G117" s="1" t="n">
        <f aca="false">D117-01_Lease_Master!$D$11</f>
        <v>545</v>
      </c>
      <c r="H117" s="1" t="n">
        <f aca="false">G117/365</f>
        <v>1.49315068493151</v>
      </c>
      <c r="I117" s="1" t="n">
        <f aca="false">01_Lease_Master!$P$11</f>
        <v>0.085</v>
      </c>
      <c r="J117" s="1" t="n">
        <f aca="false">IF(F117="NO",1,1/(1+I117)^H117)</f>
        <v>0.885315488379921</v>
      </c>
      <c r="K117" s="6" t="n">
        <f aca="false">IF(F117="NO",0,E117*J117)</f>
        <v>72949.9962425055</v>
      </c>
      <c r="L117" s="1" t="str">
        <f aca="false">IF(ABS(E117-E117)&lt;=01_Lease_Master!$AI$11,"PASS","CHECK")</f>
        <v>PASS</v>
      </c>
      <c r="M117" s="1" t="s">
        <v>126</v>
      </c>
    </row>
    <row r="118" customFormat="false" ht="15" hidden="false" customHeight="true" outlineLevel="0" collapsed="false">
      <c r="A118" s="1" t="s">
        <v>91</v>
      </c>
      <c r="B118" s="1" t="n">
        <v>0</v>
      </c>
      <c r="C118" s="1" t="n">
        <v>19</v>
      </c>
      <c r="D118" s="7" t="n">
        <v>46780</v>
      </c>
      <c r="E118" s="6" t="n">
        <f aca="false">((01_Lease_Master!$I$11)*EXP(IF(D118&gt;=20_Escalation_Schedule!$B$22,LN(1+20_Escalation_Schedule!$D$22),0)+IF(D118&gt;=20_Escalation_Schedule!$B$23,LN(1+20_Escalation_Schedule!$D$23),0)+IF(D118&gt;=20_Escalation_Schedule!$B$24,LN(1+20_Escalation_Schedule!$D$24),0)))</f>
        <v>82400</v>
      </c>
      <c r="F118" s="1" t="s">
        <v>126</v>
      </c>
      <c r="G118" s="1" t="n">
        <f aca="false">D118-01_Lease_Master!$D$11</f>
        <v>576</v>
      </c>
      <c r="H118" s="1" t="n">
        <f aca="false">G118/365</f>
        <v>1.57808219178082</v>
      </c>
      <c r="I118" s="1" t="n">
        <f aca="false">01_Lease_Master!$P$11</f>
        <v>0.085</v>
      </c>
      <c r="J118" s="1" t="n">
        <f aca="false">IF(F118="NO",1,1/(1+I118)^H118)</f>
        <v>0.879202594711417</v>
      </c>
      <c r="K118" s="6" t="n">
        <f aca="false">IF(F118="NO",0,E118*J118)</f>
        <v>72446.2938042207</v>
      </c>
      <c r="L118" s="1" t="str">
        <f aca="false">IF(ABS(E118-E118)&lt;=01_Lease_Master!$AI$11,"PASS","CHECK")</f>
        <v>PASS</v>
      </c>
      <c r="M118" s="1" t="s">
        <v>126</v>
      </c>
    </row>
    <row r="119" customFormat="false" ht="15" hidden="false" customHeight="true" outlineLevel="0" collapsed="false">
      <c r="A119" s="1" t="s">
        <v>91</v>
      </c>
      <c r="B119" s="1" t="n">
        <v>0</v>
      </c>
      <c r="C119" s="1" t="n">
        <v>20</v>
      </c>
      <c r="D119" s="7" t="n">
        <v>46811</v>
      </c>
      <c r="E119" s="6" t="n">
        <f aca="false">((01_Lease_Master!$I$11)*EXP(IF(D119&gt;=20_Escalation_Schedule!$B$22,LN(1+20_Escalation_Schedule!$D$22),0)+IF(D119&gt;=20_Escalation_Schedule!$B$23,LN(1+20_Escalation_Schedule!$D$23),0)+IF(D119&gt;=20_Escalation_Schedule!$B$24,LN(1+20_Escalation_Schedule!$D$24),0)))</f>
        <v>82400</v>
      </c>
      <c r="F119" s="1" t="s">
        <v>126</v>
      </c>
      <c r="G119" s="1" t="n">
        <f aca="false">D119-01_Lease_Master!$D$11</f>
        <v>607</v>
      </c>
      <c r="H119" s="1" t="n">
        <f aca="false">G119/365</f>
        <v>1.66301369863014</v>
      </c>
      <c r="I119" s="1" t="n">
        <f aca="false">01_Lease_Master!$P$11</f>
        <v>0.085</v>
      </c>
      <c r="J119" s="1" t="n">
        <f aca="false">IF(F119="NO",1,1/(1+I119)^H119)</f>
        <v>0.873131909125221</v>
      </c>
      <c r="K119" s="6" t="n">
        <f aca="false">IF(F119="NO",0,E119*J119)</f>
        <v>71946.0693119182</v>
      </c>
      <c r="L119" s="1" t="str">
        <f aca="false">IF(ABS(E119-E119)&lt;=01_Lease_Master!$AI$11,"PASS","CHECK")</f>
        <v>PASS</v>
      </c>
      <c r="M119" s="1" t="s">
        <v>126</v>
      </c>
    </row>
    <row r="120" customFormat="false" ht="15" hidden="false" customHeight="true" outlineLevel="0" collapsed="false">
      <c r="A120" s="1" t="s">
        <v>91</v>
      </c>
      <c r="B120" s="1" t="n">
        <v>0</v>
      </c>
      <c r="C120" s="1" t="n">
        <v>21</v>
      </c>
      <c r="D120" s="7" t="n">
        <v>46840</v>
      </c>
      <c r="E120" s="6" t="n">
        <f aca="false">((01_Lease_Master!$I$11)*EXP(IF(D120&gt;=20_Escalation_Schedule!$B$22,LN(1+20_Escalation_Schedule!$D$22),0)+IF(D120&gt;=20_Escalation_Schedule!$B$23,LN(1+20_Escalation_Schedule!$D$23),0)+IF(D120&gt;=20_Escalation_Schedule!$B$24,LN(1+20_Escalation_Schedule!$D$24),0)))</f>
        <v>82400</v>
      </c>
      <c r="F120" s="1" t="s">
        <v>126</v>
      </c>
      <c r="G120" s="1" t="n">
        <f aca="false">D120-01_Lease_Master!$D$11</f>
        <v>636</v>
      </c>
      <c r="H120" s="1" t="n">
        <f aca="false">G120/365</f>
        <v>1.74246575342466</v>
      </c>
      <c r="I120" s="1" t="n">
        <f aca="false">01_Lease_Master!$P$11</f>
        <v>0.085</v>
      </c>
      <c r="J120" s="1" t="n">
        <f aca="false">IF(F120="NO",1,1/(1+I120)^H120)</f>
        <v>0.867490833750209</v>
      </c>
      <c r="K120" s="6" t="n">
        <f aca="false">IF(F120="NO",0,E120*J120)</f>
        <v>71481.2447010172</v>
      </c>
      <c r="L120" s="1" t="str">
        <f aca="false">IF(ABS(E120-E120)&lt;=01_Lease_Master!$AI$11,"PASS","CHECK")</f>
        <v>PASS</v>
      </c>
      <c r="M120" s="1" t="s">
        <v>126</v>
      </c>
    </row>
    <row r="121" customFormat="false" ht="15" hidden="false" customHeight="true" outlineLevel="0" collapsed="false">
      <c r="A121" s="1" t="s">
        <v>91</v>
      </c>
      <c r="B121" s="1" t="n">
        <v>0</v>
      </c>
      <c r="C121" s="1" t="n">
        <v>22</v>
      </c>
      <c r="D121" s="7" t="n">
        <v>46871</v>
      </c>
      <c r="E121" s="6" t="n">
        <f aca="false">((01_Lease_Master!$I$11)*EXP(IF(D121&gt;=20_Escalation_Schedule!$B$22,LN(1+20_Escalation_Schedule!$D$22),0)+IF(D121&gt;=20_Escalation_Schedule!$B$23,LN(1+20_Escalation_Schedule!$D$23),0)+IF(D121&gt;=20_Escalation_Schedule!$B$24,LN(1+20_Escalation_Schedule!$D$24),0)))</f>
        <v>82400</v>
      </c>
      <c r="F121" s="1" t="s">
        <v>126</v>
      </c>
      <c r="G121" s="1" t="n">
        <f aca="false">D121-01_Lease_Master!$D$11</f>
        <v>667</v>
      </c>
      <c r="H121" s="1" t="n">
        <f aca="false">G121/365</f>
        <v>1.82739726027397</v>
      </c>
      <c r="I121" s="1" t="n">
        <f aca="false">01_Lease_Master!$P$11</f>
        <v>0.085</v>
      </c>
      <c r="J121" s="1" t="n">
        <f aca="false">IF(F121="NO",1,1/(1+I121)^H121)</f>
        <v>0.861501015098306</v>
      </c>
      <c r="K121" s="6" t="n">
        <f aca="false">IF(F121="NO",0,E121*J121)</f>
        <v>70987.6836441004</v>
      </c>
      <c r="L121" s="1" t="str">
        <f aca="false">IF(ABS(E121-E121)&lt;=01_Lease_Master!$AI$11,"PASS","CHECK")</f>
        <v>PASS</v>
      </c>
      <c r="M121" s="1" t="s">
        <v>126</v>
      </c>
    </row>
    <row r="122" customFormat="false" ht="15" hidden="false" customHeight="true" outlineLevel="0" collapsed="false">
      <c r="A122" s="1" t="s">
        <v>91</v>
      </c>
      <c r="B122" s="1" t="n">
        <v>0</v>
      </c>
      <c r="C122" s="1" t="n">
        <v>23</v>
      </c>
      <c r="D122" s="7" t="n">
        <v>46901</v>
      </c>
      <c r="E122" s="6" t="n">
        <f aca="false">((01_Lease_Master!$I$11)*EXP(IF(D122&gt;=20_Escalation_Schedule!$B$22,LN(1+20_Escalation_Schedule!$D$22),0)+IF(D122&gt;=20_Escalation_Schedule!$B$23,LN(1+20_Escalation_Schedule!$D$23),0)+IF(D122&gt;=20_Escalation_Schedule!$B$24,LN(1+20_Escalation_Schedule!$D$24),0)))</f>
        <v>82400</v>
      </c>
      <c r="F122" s="1" t="s">
        <v>126</v>
      </c>
      <c r="G122" s="1" t="n">
        <f aca="false">D122-01_Lease_Master!$D$11</f>
        <v>697</v>
      </c>
      <c r="H122" s="1" t="n">
        <f aca="false">G122/365</f>
        <v>1.90958904109589</v>
      </c>
      <c r="I122" s="1" t="n">
        <f aca="false">01_Lease_Master!$P$11</f>
        <v>0.085</v>
      </c>
      <c r="J122" s="1" t="n">
        <f aca="false">IF(F122="NO",1,1/(1+I122)^H122)</f>
        <v>0.855743797921607</v>
      </c>
      <c r="K122" s="6" t="n">
        <f aca="false">IF(F122="NO",0,E122*J122)</f>
        <v>70513.2889487404</v>
      </c>
      <c r="L122" s="1" t="str">
        <f aca="false">IF(ABS(E122-E122)&lt;=01_Lease_Master!$AI$11,"PASS","CHECK")</f>
        <v>PASS</v>
      </c>
      <c r="M122" s="1" t="s">
        <v>126</v>
      </c>
    </row>
    <row r="123" customFormat="false" ht="15" hidden="false" customHeight="true" outlineLevel="0" collapsed="false">
      <c r="A123" s="1" t="s">
        <v>91</v>
      </c>
      <c r="B123" s="1" t="n">
        <v>0</v>
      </c>
      <c r="C123" s="1" t="n">
        <v>24</v>
      </c>
      <c r="D123" s="7" t="n">
        <v>46932</v>
      </c>
      <c r="E123" s="6" t="n">
        <f aca="false">((01_Lease_Master!$I$11)*EXP(IF(D123&gt;=20_Escalation_Schedule!$B$22,LN(1+20_Escalation_Schedule!$D$22),0)+IF(D123&gt;=20_Escalation_Schedule!$B$23,LN(1+20_Escalation_Schedule!$D$23),0)+IF(D123&gt;=20_Escalation_Schedule!$B$24,LN(1+20_Escalation_Schedule!$D$24),0)))</f>
        <v>82400</v>
      </c>
      <c r="F123" s="1" t="s">
        <v>126</v>
      </c>
      <c r="G123" s="1" t="n">
        <f aca="false">D123-01_Lease_Master!$D$11</f>
        <v>728</v>
      </c>
      <c r="H123" s="1" t="n">
        <f aca="false">G123/365</f>
        <v>1.99452054794521</v>
      </c>
      <c r="I123" s="1" t="n">
        <f aca="false">01_Lease_Master!$P$11</f>
        <v>0.085</v>
      </c>
      <c r="J123" s="1" t="n">
        <f aca="false">IF(F123="NO",1,1/(1+I123)^H123)</f>
        <v>0.849835089768597</v>
      </c>
      <c r="K123" s="6" t="n">
        <f aca="false">IF(F123="NO",0,E123*J123)</f>
        <v>70026.4113969324</v>
      </c>
      <c r="L123" s="1" t="str">
        <f aca="false">IF(ABS(E123-E123)&lt;=01_Lease_Master!$AI$11,"PASS","CHECK")</f>
        <v>PASS</v>
      </c>
      <c r="M123" s="1" t="s">
        <v>126</v>
      </c>
    </row>
    <row r="124" customFormat="false" ht="15" hidden="false" customHeight="true" outlineLevel="0" collapsed="false">
      <c r="A124" s="1" t="s">
        <v>91</v>
      </c>
      <c r="B124" s="1" t="n">
        <v>0</v>
      </c>
      <c r="C124" s="1" t="n">
        <v>25</v>
      </c>
      <c r="D124" s="7" t="n">
        <v>46962</v>
      </c>
      <c r="E124" s="6" t="n">
        <f aca="false">((01_Lease_Master!$I$11)*EXP(IF(D124&gt;=20_Escalation_Schedule!$B$22,LN(1+20_Escalation_Schedule!$D$22),0)+IF(D124&gt;=20_Escalation_Schedule!$B$23,LN(1+20_Escalation_Schedule!$D$23),0)+IF(D124&gt;=20_Escalation_Schedule!$B$24,LN(1+20_Escalation_Schedule!$D$24),0)))</f>
        <v>84872</v>
      </c>
      <c r="F124" s="1" t="s">
        <v>126</v>
      </c>
      <c r="G124" s="1" t="n">
        <f aca="false">D124-01_Lease_Master!$D$11</f>
        <v>758</v>
      </c>
      <c r="H124" s="1" t="n">
        <f aca="false">G124/365</f>
        <v>2.07671232876712</v>
      </c>
      <c r="I124" s="1" t="n">
        <f aca="false">01_Lease_Master!$P$11</f>
        <v>0.085</v>
      </c>
      <c r="J124" s="1" t="n">
        <f aca="false">IF(F124="NO",1,1/(1+I124)^H124)</f>
        <v>0.844155833342394</v>
      </c>
      <c r="K124" s="6" t="n">
        <f aca="false">IF(F124="NO",0,E124*J124)</f>
        <v>71645.1938874357</v>
      </c>
      <c r="L124" s="1" t="str">
        <f aca="false">IF(ABS(E124-E124)&lt;=01_Lease_Master!$AI$11,"PASS","CHECK")</f>
        <v>PASS</v>
      </c>
      <c r="M124" s="1" t="s">
        <v>126</v>
      </c>
    </row>
    <row r="125" customFormat="false" ht="15" hidden="false" customHeight="true" outlineLevel="0" collapsed="false">
      <c r="A125" s="1" t="s">
        <v>91</v>
      </c>
      <c r="B125" s="1" t="n">
        <v>0</v>
      </c>
      <c r="C125" s="1" t="n">
        <v>26</v>
      </c>
      <c r="D125" s="7" t="n">
        <v>46993</v>
      </c>
      <c r="E125" s="6" t="n">
        <f aca="false">((01_Lease_Master!$I$11)*EXP(IF(D125&gt;=20_Escalation_Schedule!$B$22,LN(1+20_Escalation_Schedule!$D$22),0)+IF(D125&gt;=20_Escalation_Schedule!$B$23,LN(1+20_Escalation_Schedule!$D$23),0)+IF(D125&gt;=20_Escalation_Schedule!$B$24,LN(1+20_Escalation_Schedule!$D$24),0)))</f>
        <v>84872</v>
      </c>
      <c r="F125" s="1" t="s">
        <v>126</v>
      </c>
      <c r="G125" s="1" t="n">
        <f aca="false">D125-01_Lease_Master!$D$11</f>
        <v>789</v>
      </c>
      <c r="H125" s="1" t="n">
        <f aca="false">G125/365</f>
        <v>2.16164383561644</v>
      </c>
      <c r="I125" s="1" t="n">
        <f aca="false">01_Lease_Master!$P$11</f>
        <v>0.085</v>
      </c>
      <c r="J125" s="1" t="n">
        <f aca="false">IF(F125="NO",1,1/(1+I125)^H125)</f>
        <v>0.838327137338992</v>
      </c>
      <c r="K125" s="6" t="n">
        <f aca="false">IF(F125="NO",0,E125*J125)</f>
        <v>71150.500800235</v>
      </c>
      <c r="L125" s="1" t="str">
        <f aca="false">IF(ABS(E125-E125)&lt;=01_Lease_Master!$AI$11,"PASS","CHECK")</f>
        <v>PASS</v>
      </c>
      <c r="M125" s="1" t="s">
        <v>126</v>
      </c>
    </row>
    <row r="126" customFormat="false" ht="15" hidden="false" customHeight="true" outlineLevel="0" collapsed="false">
      <c r="A126" s="1" t="s">
        <v>91</v>
      </c>
      <c r="B126" s="1" t="n">
        <v>0</v>
      </c>
      <c r="C126" s="1" t="n">
        <v>27</v>
      </c>
      <c r="D126" s="7" t="n">
        <v>47024</v>
      </c>
      <c r="E126" s="6" t="n">
        <f aca="false">((01_Lease_Master!$I$11)*EXP(IF(D126&gt;=20_Escalation_Schedule!$B$22,LN(1+20_Escalation_Schedule!$D$22),0)+IF(D126&gt;=20_Escalation_Schedule!$B$23,LN(1+20_Escalation_Schedule!$D$23),0)+IF(D126&gt;=20_Escalation_Schedule!$B$24,LN(1+20_Escalation_Schedule!$D$24),0)))</f>
        <v>84872</v>
      </c>
      <c r="F126" s="1" t="s">
        <v>126</v>
      </c>
      <c r="G126" s="1" t="n">
        <f aca="false">D126-01_Lease_Master!$D$11</f>
        <v>820</v>
      </c>
      <c r="H126" s="1" t="n">
        <f aca="false">G126/365</f>
        <v>2.24657534246575</v>
      </c>
      <c r="I126" s="1" t="n">
        <f aca="false">01_Lease_Master!$P$11</f>
        <v>0.085</v>
      </c>
      <c r="J126" s="1" t="n">
        <f aca="false">IF(F126="NO",1,1/(1+I126)^H126)</f>
        <v>0.832538687100363</v>
      </c>
      <c r="K126" s="6" t="n">
        <f aca="false">IF(F126="NO",0,E126*J126)</f>
        <v>70659.223451582</v>
      </c>
      <c r="L126" s="1" t="str">
        <f aca="false">IF(ABS(E126-E126)&lt;=01_Lease_Master!$AI$11,"PASS","CHECK")</f>
        <v>PASS</v>
      </c>
      <c r="M126" s="1" t="s">
        <v>126</v>
      </c>
    </row>
    <row r="127" customFormat="false" ht="15" hidden="false" customHeight="true" outlineLevel="0" collapsed="false">
      <c r="A127" s="1" t="s">
        <v>91</v>
      </c>
      <c r="B127" s="1" t="n">
        <v>0</v>
      </c>
      <c r="C127" s="1" t="n">
        <v>28</v>
      </c>
      <c r="D127" s="7" t="n">
        <v>47054</v>
      </c>
      <c r="E127" s="6" t="n">
        <f aca="false">((01_Lease_Master!$I$11)*EXP(IF(D127&gt;=20_Escalation_Schedule!$B$22,LN(1+20_Escalation_Schedule!$D$22),0)+IF(D127&gt;=20_Escalation_Schedule!$B$23,LN(1+20_Escalation_Schedule!$D$23),0)+IF(D127&gt;=20_Escalation_Schedule!$B$24,LN(1+20_Escalation_Schedule!$D$24),0)))</f>
        <v>84872</v>
      </c>
      <c r="F127" s="1" t="s">
        <v>126</v>
      </c>
      <c r="G127" s="1" t="n">
        <f aca="false">D127-01_Lease_Master!$D$11</f>
        <v>850</v>
      </c>
      <c r="H127" s="1" t="n">
        <f aca="false">G127/365</f>
        <v>2.32876712328767</v>
      </c>
      <c r="I127" s="1" t="n">
        <f aca="false">01_Lease_Master!$P$11</f>
        <v>0.085</v>
      </c>
      <c r="J127" s="1" t="n">
        <f aca="false">IF(F127="NO",1,1/(1+I127)^H127)</f>
        <v>0.826975018636092</v>
      </c>
      <c r="K127" s="6" t="n">
        <f aca="false">IF(F127="NO",0,E127*J127)</f>
        <v>70187.0237816824</v>
      </c>
      <c r="L127" s="1" t="str">
        <f aca="false">IF(ABS(E127-E127)&lt;=01_Lease_Master!$AI$11,"PASS","CHECK")</f>
        <v>PASS</v>
      </c>
      <c r="M127" s="1" t="s">
        <v>126</v>
      </c>
    </row>
    <row r="128" customFormat="false" ht="15" hidden="false" customHeight="true" outlineLevel="0" collapsed="false">
      <c r="A128" s="1" t="s">
        <v>91</v>
      </c>
      <c r="B128" s="1" t="n">
        <v>0</v>
      </c>
      <c r="C128" s="1" t="n">
        <v>29</v>
      </c>
      <c r="D128" s="7" t="n">
        <v>47085</v>
      </c>
      <c r="E128" s="6" t="n">
        <f aca="false">((01_Lease_Master!$I$11)*EXP(IF(D128&gt;=20_Escalation_Schedule!$B$22,LN(1+20_Escalation_Schedule!$D$22),0)+IF(D128&gt;=20_Escalation_Schedule!$B$23,LN(1+20_Escalation_Schedule!$D$23),0)+IF(D128&gt;=20_Escalation_Schedule!$B$24,LN(1+20_Escalation_Schedule!$D$24),0)))</f>
        <v>84872</v>
      </c>
      <c r="F128" s="1" t="s">
        <v>126</v>
      </c>
      <c r="G128" s="1" t="n">
        <f aca="false">D128-01_Lease_Master!$D$11</f>
        <v>881</v>
      </c>
      <c r="H128" s="1" t="n">
        <f aca="false">G128/365</f>
        <v>2.41369863013699</v>
      </c>
      <c r="I128" s="1" t="n">
        <f aca="false">01_Lease_Master!$P$11</f>
        <v>0.085</v>
      </c>
      <c r="J128" s="1" t="n">
        <f aca="false">IF(F128="NO",1,1/(1+I128)^H128)</f>
        <v>0.82126495208718</v>
      </c>
      <c r="K128" s="6" t="n">
        <f aca="false">IF(F128="NO",0,E128*J128)</f>
        <v>69702.3990135431</v>
      </c>
      <c r="L128" s="1" t="str">
        <f aca="false">IF(ABS(E128-E128)&lt;=01_Lease_Master!$AI$11,"PASS","CHECK")</f>
        <v>PASS</v>
      </c>
      <c r="M128" s="1" t="s">
        <v>126</v>
      </c>
    </row>
    <row r="129" customFormat="false" ht="15" hidden="false" customHeight="true" outlineLevel="0" collapsed="false">
      <c r="A129" s="1" t="s">
        <v>91</v>
      </c>
      <c r="B129" s="1" t="n">
        <v>0</v>
      </c>
      <c r="C129" s="1" t="n">
        <v>30</v>
      </c>
      <c r="D129" s="7" t="n">
        <v>47115</v>
      </c>
      <c r="E129" s="6" t="n">
        <f aca="false">((01_Lease_Master!$I$11)*EXP(IF(D129&gt;=20_Escalation_Schedule!$B$22,LN(1+20_Escalation_Schedule!$D$22),0)+IF(D129&gt;=20_Escalation_Schedule!$B$23,LN(1+20_Escalation_Schedule!$D$23),0)+IF(D129&gt;=20_Escalation_Schedule!$B$24,LN(1+20_Escalation_Schedule!$D$24),0)))</f>
        <v>84872</v>
      </c>
      <c r="F129" s="1" t="s">
        <v>126</v>
      </c>
      <c r="G129" s="1" t="n">
        <f aca="false">D129-01_Lease_Master!$D$11</f>
        <v>911</v>
      </c>
      <c r="H129" s="1" t="n">
        <f aca="false">G129/365</f>
        <v>2.4958904109589</v>
      </c>
      <c r="I129" s="1" t="n">
        <f aca="false">01_Lease_Master!$P$11</f>
        <v>0.085</v>
      </c>
      <c r="J129" s="1" t="n">
        <f aca="false">IF(F129="NO",1,1/(1+I129)^H129)</f>
        <v>0.815776623453885</v>
      </c>
      <c r="K129" s="6" t="n">
        <f aca="false">IF(F129="NO",0,E129*J129)</f>
        <v>69236.5935857781</v>
      </c>
      <c r="L129" s="1" t="str">
        <f aca="false">IF(ABS(E129-E129)&lt;=01_Lease_Master!$AI$11,"PASS","CHECK")</f>
        <v>PASS</v>
      </c>
      <c r="M129" s="1" t="s">
        <v>126</v>
      </c>
    </row>
    <row r="130" customFormat="false" ht="15" hidden="false" customHeight="true" outlineLevel="0" collapsed="false">
      <c r="A130" s="1" t="s">
        <v>91</v>
      </c>
      <c r="B130" s="1" t="n">
        <v>0</v>
      </c>
      <c r="C130" s="1" t="n">
        <v>31</v>
      </c>
      <c r="D130" s="7" t="n">
        <v>47146</v>
      </c>
      <c r="E130" s="6" t="n">
        <f aca="false">((01_Lease_Master!$I$11)*EXP(IF(D130&gt;=20_Escalation_Schedule!$B$22,LN(1+20_Escalation_Schedule!$D$22),0)+IF(D130&gt;=20_Escalation_Schedule!$B$23,LN(1+20_Escalation_Schedule!$D$23),0)+IF(D130&gt;=20_Escalation_Schedule!$B$24,LN(1+20_Escalation_Schedule!$D$24),0)))</f>
        <v>84872</v>
      </c>
      <c r="F130" s="1" t="s">
        <v>126</v>
      </c>
      <c r="G130" s="1" t="n">
        <f aca="false">D130-01_Lease_Master!$D$11</f>
        <v>942</v>
      </c>
      <c r="H130" s="1" t="n">
        <f aca="false">G130/365</f>
        <v>2.58082191780822</v>
      </c>
      <c r="I130" s="1" t="n">
        <f aca="false">01_Lease_Master!$P$11</f>
        <v>0.085</v>
      </c>
      <c r="J130" s="1" t="n">
        <f aca="false">IF(F130="NO",1,1/(1+I130)^H130)</f>
        <v>0.810143879170205</v>
      </c>
      <c r="K130" s="6" t="n">
        <f aca="false">IF(F130="NO",0,E130*J130)</f>
        <v>68758.5313129336</v>
      </c>
      <c r="L130" s="1" t="str">
        <f aca="false">IF(ABS(E130-E130)&lt;=01_Lease_Master!$AI$11,"PASS","CHECK")</f>
        <v>PASS</v>
      </c>
      <c r="M130" s="1" t="s">
        <v>126</v>
      </c>
    </row>
    <row r="131" customFormat="false" ht="15" hidden="false" customHeight="true" outlineLevel="0" collapsed="false">
      <c r="A131" s="1" t="s">
        <v>91</v>
      </c>
      <c r="B131" s="1" t="n">
        <v>0</v>
      </c>
      <c r="C131" s="1" t="n">
        <v>32</v>
      </c>
      <c r="D131" s="7" t="n">
        <v>47177</v>
      </c>
      <c r="E131" s="6" t="n">
        <f aca="false">((01_Lease_Master!$I$11)*EXP(IF(D131&gt;=20_Escalation_Schedule!$B$22,LN(1+20_Escalation_Schedule!$D$22),0)+IF(D131&gt;=20_Escalation_Schedule!$B$23,LN(1+20_Escalation_Schedule!$D$23),0)+IF(D131&gt;=20_Escalation_Schedule!$B$24,LN(1+20_Escalation_Schedule!$D$24),0)))</f>
        <v>84872</v>
      </c>
      <c r="F131" s="1" t="s">
        <v>126</v>
      </c>
      <c r="G131" s="1" t="n">
        <f aca="false">D131-01_Lease_Master!$D$11</f>
        <v>973</v>
      </c>
      <c r="H131" s="1" t="n">
        <f aca="false">G131/365</f>
        <v>2.66575342465753</v>
      </c>
      <c r="I131" s="1" t="n">
        <f aca="false">01_Lease_Master!$P$11</f>
        <v>0.085</v>
      </c>
      <c r="J131" s="1" t="n">
        <f aca="false">IF(F131="NO",1,1/(1+I131)^H131)</f>
        <v>0.804550027651104</v>
      </c>
      <c r="K131" s="6" t="n">
        <f aca="false">IF(F131="NO",0,E131*J131)</f>
        <v>68283.7699468045</v>
      </c>
      <c r="L131" s="1" t="str">
        <f aca="false">IF(ABS(E131-E131)&lt;=01_Lease_Master!$AI$11,"PASS","CHECK")</f>
        <v>PASS</v>
      </c>
      <c r="M131" s="1" t="s">
        <v>126</v>
      </c>
    </row>
    <row r="132" customFormat="false" ht="15" hidden="false" customHeight="true" outlineLevel="0" collapsed="false">
      <c r="A132" s="1" t="s">
        <v>91</v>
      </c>
      <c r="B132" s="1" t="n">
        <v>0</v>
      </c>
      <c r="C132" s="1" t="n">
        <v>33</v>
      </c>
      <c r="D132" s="7" t="n">
        <v>47205</v>
      </c>
      <c r="E132" s="6" t="n">
        <f aca="false">((01_Lease_Master!$I$11)*EXP(IF(D132&gt;=20_Escalation_Schedule!$B$22,LN(1+20_Escalation_Schedule!$D$22),0)+IF(D132&gt;=20_Escalation_Schedule!$B$23,LN(1+20_Escalation_Schedule!$D$23),0)+IF(D132&gt;=20_Escalation_Schedule!$B$24,LN(1+20_Escalation_Schedule!$D$24),0)))</f>
        <v>84872</v>
      </c>
      <c r="F132" s="1" t="s">
        <v>126</v>
      </c>
      <c r="G132" s="1" t="n">
        <f aca="false">D132-01_Lease_Master!$D$11</f>
        <v>1001</v>
      </c>
      <c r="H132" s="1" t="n">
        <f aca="false">G132/365</f>
        <v>2.74246575342466</v>
      </c>
      <c r="I132" s="1" t="n">
        <f aca="false">01_Lease_Master!$P$11</f>
        <v>0.085</v>
      </c>
      <c r="J132" s="1" t="n">
        <f aca="false">IF(F132="NO",1,1/(1+I132)^H132)</f>
        <v>0.799530722350423</v>
      </c>
      <c r="K132" s="6" t="n">
        <f aca="false">IF(F132="NO",0,E132*J132)</f>
        <v>67857.7714673251</v>
      </c>
      <c r="L132" s="1" t="str">
        <f aca="false">IF(ABS(E132-E132)&lt;=01_Lease_Master!$AI$11,"PASS","CHECK")</f>
        <v>PASS</v>
      </c>
      <c r="M132" s="1" t="s">
        <v>126</v>
      </c>
    </row>
    <row r="133" customFormat="false" ht="15" hidden="false" customHeight="true" outlineLevel="0" collapsed="false">
      <c r="A133" s="1" t="s">
        <v>91</v>
      </c>
      <c r="B133" s="1" t="n">
        <v>0</v>
      </c>
      <c r="C133" s="1" t="n">
        <v>34</v>
      </c>
      <c r="D133" s="7" t="n">
        <v>47236</v>
      </c>
      <c r="E133" s="6" t="n">
        <f aca="false">((01_Lease_Master!$I$11)*EXP(IF(D133&gt;=20_Escalation_Schedule!$B$22,LN(1+20_Escalation_Schedule!$D$22),0)+IF(D133&gt;=20_Escalation_Schedule!$B$23,LN(1+20_Escalation_Schedule!$D$23),0)+IF(D133&gt;=20_Escalation_Schedule!$B$24,LN(1+20_Escalation_Schedule!$D$24),0)))</f>
        <v>84872</v>
      </c>
      <c r="F133" s="1" t="s">
        <v>126</v>
      </c>
      <c r="G133" s="1" t="n">
        <f aca="false">D133-01_Lease_Master!$D$11</f>
        <v>1032</v>
      </c>
      <c r="H133" s="1" t="n">
        <f aca="false">G133/365</f>
        <v>2.82739726027397</v>
      </c>
      <c r="I133" s="1" t="n">
        <f aca="false">01_Lease_Master!$P$11</f>
        <v>0.085</v>
      </c>
      <c r="J133" s="1" t="n">
        <f aca="false">IF(F133="NO",1,1/(1+I133)^H133)</f>
        <v>0.794010152164337</v>
      </c>
      <c r="K133" s="6" t="n">
        <f aca="false">IF(F133="NO",0,E133*J133)</f>
        <v>67389.2296344916</v>
      </c>
      <c r="L133" s="1" t="str">
        <f aca="false">IF(ABS(E133-E133)&lt;=01_Lease_Master!$AI$11,"PASS","CHECK")</f>
        <v>PASS</v>
      </c>
      <c r="M133" s="1" t="s">
        <v>126</v>
      </c>
    </row>
    <row r="134" customFormat="false" ht="15" hidden="false" customHeight="true" outlineLevel="0" collapsed="false">
      <c r="A134" s="1" t="s">
        <v>91</v>
      </c>
      <c r="B134" s="1" t="n">
        <v>0</v>
      </c>
      <c r="C134" s="1" t="n">
        <v>35</v>
      </c>
      <c r="D134" s="7" t="n">
        <v>47266</v>
      </c>
      <c r="E134" s="6" t="n">
        <f aca="false">((01_Lease_Master!$I$11)*EXP(IF(D134&gt;=20_Escalation_Schedule!$B$22,LN(1+20_Escalation_Schedule!$D$22),0)+IF(D134&gt;=20_Escalation_Schedule!$B$23,LN(1+20_Escalation_Schedule!$D$23),0)+IF(D134&gt;=20_Escalation_Schedule!$B$24,LN(1+20_Escalation_Schedule!$D$24),0)))</f>
        <v>84872</v>
      </c>
      <c r="F134" s="1" t="s">
        <v>126</v>
      </c>
      <c r="G134" s="1" t="n">
        <f aca="false">D134-01_Lease_Master!$D$11</f>
        <v>1062</v>
      </c>
      <c r="H134" s="1" t="n">
        <f aca="false">G134/365</f>
        <v>2.90958904109589</v>
      </c>
      <c r="I134" s="1" t="n">
        <f aca="false">01_Lease_Master!$P$11</f>
        <v>0.085</v>
      </c>
      <c r="J134" s="1" t="n">
        <f aca="false">IF(F134="NO",1,1/(1+I134)^H134)</f>
        <v>0.788703961218071</v>
      </c>
      <c r="K134" s="6" t="n">
        <f aca="false">IF(F134="NO",0,E134*J134)</f>
        <v>66938.8825965001</v>
      </c>
      <c r="L134" s="1" t="str">
        <f aca="false">IF(ABS(E134-E134)&lt;=01_Lease_Master!$AI$11,"PASS","CHECK")</f>
        <v>PASS</v>
      </c>
      <c r="M134" s="1" t="s">
        <v>126</v>
      </c>
    </row>
    <row r="135" customFormat="false" ht="15" hidden="false" customHeight="true" outlineLevel="0" collapsed="false">
      <c r="A135" s="1" t="s">
        <v>91</v>
      </c>
      <c r="B135" s="1" t="n">
        <v>0</v>
      </c>
      <c r="C135" s="1" t="n">
        <v>36</v>
      </c>
      <c r="D135" s="7" t="n">
        <v>47297</v>
      </c>
      <c r="E135" s="6" t="n">
        <f aca="false">((01_Lease_Master!$I$11)*EXP(IF(D135&gt;=20_Escalation_Schedule!$B$22,LN(1+20_Escalation_Schedule!$D$22),0)+IF(D135&gt;=20_Escalation_Schedule!$B$23,LN(1+20_Escalation_Schedule!$D$23),0)+IF(D135&gt;=20_Escalation_Schedule!$B$24,LN(1+20_Escalation_Schedule!$D$24),0)))</f>
        <v>84872</v>
      </c>
      <c r="F135" s="1" t="s">
        <v>126</v>
      </c>
      <c r="G135" s="1" t="n">
        <f aca="false">D135-01_Lease_Master!$D$11</f>
        <v>1093</v>
      </c>
      <c r="H135" s="1" t="n">
        <f aca="false">G135/365</f>
        <v>2.99452054794521</v>
      </c>
      <c r="I135" s="1" t="n">
        <f aca="false">01_Lease_Master!$P$11</f>
        <v>0.085</v>
      </c>
      <c r="J135" s="1" t="n">
        <f aca="false">IF(F135="NO",1,1/(1+I135)^H135)</f>
        <v>0.783258147252163</v>
      </c>
      <c r="K135" s="6" t="n">
        <f aca="false">IF(F135="NO",0,E135*J135)</f>
        <v>66476.6854735856</v>
      </c>
      <c r="L135" s="1" t="str">
        <f aca="false">IF(ABS(E135-E135)&lt;=01_Lease_Master!$AI$11,"PASS","CHECK")</f>
        <v>PASS</v>
      </c>
      <c r="M135" s="1" t="s">
        <v>126</v>
      </c>
    </row>
    <row r="136" customFormat="false" ht="15" hidden="false" customHeight="true" outlineLevel="0" collapsed="false">
      <c r="A136" s="1" t="s">
        <v>91</v>
      </c>
      <c r="B136" s="1" t="n">
        <v>0</v>
      </c>
      <c r="C136" s="1" t="n">
        <v>37</v>
      </c>
      <c r="D136" s="7" t="n">
        <v>47327</v>
      </c>
      <c r="E136" s="6" t="n">
        <f aca="false">((01_Lease_Master!$I$11)*EXP(IF(D136&gt;=20_Escalation_Schedule!$B$22,LN(1+20_Escalation_Schedule!$D$22),0)+IF(D136&gt;=20_Escalation_Schedule!$B$23,LN(1+20_Escalation_Schedule!$D$23),0)+IF(D136&gt;=20_Escalation_Schedule!$B$24,LN(1+20_Escalation_Schedule!$D$24),0)))</f>
        <v>87418.16</v>
      </c>
      <c r="F136" s="1" t="s">
        <v>126</v>
      </c>
      <c r="G136" s="1" t="n">
        <f aca="false">D136-01_Lease_Master!$D$11</f>
        <v>1123</v>
      </c>
      <c r="H136" s="1" t="n">
        <f aca="false">G136/365</f>
        <v>3.07671232876712</v>
      </c>
      <c r="I136" s="1" t="n">
        <f aca="false">01_Lease_Master!$P$11</f>
        <v>0.085</v>
      </c>
      <c r="J136" s="1" t="n">
        <f aca="false">IF(F136="NO",1,1/(1+I136)^H136)</f>
        <v>0.778023809532161</v>
      </c>
      <c r="K136" s="6" t="n">
        <f aca="false">IF(F136="NO",0,E136*J136)</f>
        <v>68013.4098654919</v>
      </c>
      <c r="L136" s="1" t="str">
        <f aca="false">IF(ABS(E136-E136)&lt;=01_Lease_Master!$AI$11,"PASS","CHECK")</f>
        <v>PASS</v>
      </c>
      <c r="M136" s="1" t="s">
        <v>126</v>
      </c>
    </row>
    <row r="137" customFormat="false" ht="15" hidden="false" customHeight="true" outlineLevel="0" collapsed="false">
      <c r="A137" s="1" t="s">
        <v>91</v>
      </c>
      <c r="B137" s="1" t="n">
        <v>0</v>
      </c>
      <c r="C137" s="1" t="n">
        <v>38</v>
      </c>
      <c r="D137" s="7" t="n">
        <v>47358</v>
      </c>
      <c r="E137" s="6" t="n">
        <f aca="false">((01_Lease_Master!$I$11)*EXP(IF(D137&gt;=20_Escalation_Schedule!$B$22,LN(1+20_Escalation_Schedule!$D$22),0)+IF(D137&gt;=20_Escalation_Schedule!$B$23,LN(1+20_Escalation_Schedule!$D$23),0)+IF(D137&gt;=20_Escalation_Schedule!$B$24,LN(1+20_Escalation_Schedule!$D$24),0)))</f>
        <v>87418.16</v>
      </c>
      <c r="F137" s="1" t="s">
        <v>126</v>
      </c>
      <c r="G137" s="1" t="n">
        <f aca="false">D137-01_Lease_Master!$D$11</f>
        <v>1154</v>
      </c>
      <c r="H137" s="1" t="n">
        <f aca="false">G137/365</f>
        <v>3.16164383561644</v>
      </c>
      <c r="I137" s="1" t="n">
        <f aca="false">01_Lease_Master!$P$11</f>
        <v>0.085</v>
      </c>
      <c r="J137" s="1" t="n">
        <f aca="false">IF(F137="NO",1,1/(1+I137)^H137)</f>
        <v>0.772651739482942</v>
      </c>
      <c r="K137" s="6" t="n">
        <f aca="false">IF(F137="NO",0,E137*J137)</f>
        <v>67543.7933863982</v>
      </c>
      <c r="L137" s="1" t="str">
        <f aca="false">IF(ABS(E137-E137)&lt;=01_Lease_Master!$AI$11,"PASS","CHECK")</f>
        <v>PASS</v>
      </c>
      <c r="M137" s="1" t="s">
        <v>126</v>
      </c>
    </row>
    <row r="138" customFormat="false" ht="15" hidden="false" customHeight="true" outlineLevel="0" collapsed="false">
      <c r="A138" s="1" t="s">
        <v>91</v>
      </c>
      <c r="B138" s="1" t="n">
        <v>0</v>
      </c>
      <c r="C138" s="1" t="n">
        <v>39</v>
      </c>
      <c r="D138" s="7" t="n">
        <v>47389</v>
      </c>
      <c r="E138" s="6" t="n">
        <f aca="false">((01_Lease_Master!$I$11)*EXP(IF(D138&gt;=20_Escalation_Schedule!$B$22,LN(1+20_Escalation_Schedule!$D$22),0)+IF(D138&gt;=20_Escalation_Schedule!$B$23,LN(1+20_Escalation_Schedule!$D$23),0)+IF(D138&gt;=20_Escalation_Schedule!$B$24,LN(1+20_Escalation_Schedule!$D$24),0)))</f>
        <v>87418.16</v>
      </c>
      <c r="F138" s="1" t="s">
        <v>126</v>
      </c>
      <c r="G138" s="1" t="n">
        <f aca="false">D138-01_Lease_Master!$D$11</f>
        <v>1185</v>
      </c>
      <c r="H138" s="1" t="n">
        <f aca="false">G138/365</f>
        <v>3.24657534246575</v>
      </c>
      <c r="I138" s="1" t="n">
        <f aca="false">01_Lease_Master!$P$11</f>
        <v>0.085</v>
      </c>
      <c r="J138" s="1" t="n">
        <f aca="false">IF(F138="NO",1,1/(1+I138)^H138)</f>
        <v>0.767316762304482</v>
      </c>
      <c r="K138" s="6" t="n">
        <f aca="false">IF(F138="NO",0,E138*J138)</f>
        <v>67077.4194978152</v>
      </c>
      <c r="L138" s="1" t="str">
        <f aca="false">IF(ABS(E138-E138)&lt;=01_Lease_Master!$AI$11,"PASS","CHECK")</f>
        <v>PASS</v>
      </c>
      <c r="M138" s="1" t="s">
        <v>126</v>
      </c>
    </row>
    <row r="139" customFormat="false" ht="15" hidden="false" customHeight="true" outlineLevel="0" collapsed="false">
      <c r="A139" s="1" t="s">
        <v>91</v>
      </c>
      <c r="B139" s="1" t="n">
        <v>0</v>
      </c>
      <c r="C139" s="1" t="n">
        <v>40</v>
      </c>
      <c r="D139" s="7" t="n">
        <v>47419</v>
      </c>
      <c r="E139" s="6" t="n">
        <f aca="false">((01_Lease_Master!$I$11)*EXP(IF(D139&gt;=20_Escalation_Schedule!$B$22,LN(1+20_Escalation_Schedule!$D$22),0)+IF(D139&gt;=20_Escalation_Schedule!$B$23,LN(1+20_Escalation_Schedule!$D$23),0)+IF(D139&gt;=20_Escalation_Schedule!$B$24,LN(1+20_Escalation_Schedule!$D$24),0)))</f>
        <v>87418.16</v>
      </c>
      <c r="F139" s="1" t="s">
        <v>126</v>
      </c>
      <c r="G139" s="1" t="n">
        <f aca="false">D139-01_Lease_Master!$D$11</f>
        <v>1215</v>
      </c>
      <c r="H139" s="1" t="n">
        <f aca="false">G139/365</f>
        <v>3.32876712328767</v>
      </c>
      <c r="I139" s="1" t="n">
        <f aca="false">01_Lease_Master!$P$11</f>
        <v>0.085</v>
      </c>
      <c r="J139" s="1" t="n">
        <f aca="false">IF(F139="NO",1,1/(1+I139)^H139)</f>
        <v>0.762188957268287</v>
      </c>
      <c r="K139" s="6" t="n">
        <f aca="false">IF(F139="NO",0,E139*J139)</f>
        <v>66629.1562167123</v>
      </c>
      <c r="L139" s="1" t="str">
        <f aca="false">IF(ABS(E139-E139)&lt;=01_Lease_Master!$AI$11,"PASS","CHECK")</f>
        <v>PASS</v>
      </c>
      <c r="M139" s="1" t="s">
        <v>126</v>
      </c>
    </row>
    <row r="140" customFormat="false" ht="15" hidden="false" customHeight="true" outlineLevel="0" collapsed="false">
      <c r="A140" s="1" t="s">
        <v>91</v>
      </c>
      <c r="B140" s="1" t="n">
        <v>0</v>
      </c>
      <c r="C140" s="1" t="n">
        <v>41</v>
      </c>
      <c r="D140" s="7" t="n">
        <v>47450</v>
      </c>
      <c r="E140" s="6" t="n">
        <f aca="false">((01_Lease_Master!$I$11)*EXP(IF(D140&gt;=20_Escalation_Schedule!$B$22,LN(1+20_Escalation_Schedule!$D$22),0)+IF(D140&gt;=20_Escalation_Schedule!$B$23,LN(1+20_Escalation_Schedule!$D$23),0)+IF(D140&gt;=20_Escalation_Schedule!$B$24,LN(1+20_Escalation_Schedule!$D$24),0)))</f>
        <v>87418.16</v>
      </c>
      <c r="F140" s="1" t="s">
        <v>126</v>
      </c>
      <c r="G140" s="1" t="n">
        <f aca="false">D140-01_Lease_Master!$D$11</f>
        <v>1246</v>
      </c>
      <c r="H140" s="1" t="n">
        <f aca="false">G140/365</f>
        <v>3.41369863013699</v>
      </c>
      <c r="I140" s="1" t="n">
        <f aca="false">01_Lease_Master!$P$11</f>
        <v>0.085</v>
      </c>
      <c r="J140" s="1" t="n">
        <f aca="false">IF(F140="NO",1,1/(1+I140)^H140)</f>
        <v>0.756926223121825</v>
      </c>
      <c r="K140" s="6" t="n">
        <f aca="false">IF(F140="NO",0,E140*J140)</f>
        <v>66169.0976810594</v>
      </c>
      <c r="L140" s="1" t="str">
        <f aca="false">IF(ABS(E140-E140)&lt;=01_Lease_Master!$AI$11,"PASS","CHECK")</f>
        <v>PASS</v>
      </c>
      <c r="M140" s="1" t="s">
        <v>126</v>
      </c>
    </row>
    <row r="141" customFormat="false" ht="15" hidden="false" customHeight="true" outlineLevel="0" collapsed="false">
      <c r="A141" s="1" t="s">
        <v>91</v>
      </c>
      <c r="B141" s="1" t="n">
        <v>0</v>
      </c>
      <c r="C141" s="1" t="n">
        <v>42</v>
      </c>
      <c r="D141" s="7" t="n">
        <v>47480</v>
      </c>
      <c r="E141" s="6" t="n">
        <f aca="false">((01_Lease_Master!$I$11)*EXP(IF(D141&gt;=20_Escalation_Schedule!$B$22,LN(1+20_Escalation_Schedule!$D$22),0)+IF(D141&gt;=20_Escalation_Schedule!$B$23,LN(1+20_Escalation_Schedule!$D$23),0)+IF(D141&gt;=20_Escalation_Schedule!$B$24,LN(1+20_Escalation_Schedule!$D$24),0)))</f>
        <v>87418.16</v>
      </c>
      <c r="F141" s="1" t="s">
        <v>126</v>
      </c>
      <c r="G141" s="1" t="n">
        <f aca="false">D141-01_Lease_Master!$D$11</f>
        <v>1276</v>
      </c>
      <c r="H141" s="1" t="n">
        <f aca="false">G141/365</f>
        <v>3.4958904109589</v>
      </c>
      <c r="I141" s="1" t="n">
        <f aca="false">01_Lease_Master!$P$11</f>
        <v>0.085</v>
      </c>
      <c r="J141" s="1" t="n">
        <f aca="false">IF(F141="NO",1,1/(1+I141)^H141)</f>
        <v>0.751867855717866</v>
      </c>
      <c r="K141" s="6" t="n">
        <f aca="false">IF(F141="NO",0,E141*J141)</f>
        <v>65726.9045100013</v>
      </c>
      <c r="L141" s="1" t="str">
        <f aca="false">IF(ABS(E141-E141)&lt;=01_Lease_Master!$AI$11,"PASS","CHECK")</f>
        <v>PASS</v>
      </c>
      <c r="M141" s="1" t="s">
        <v>126</v>
      </c>
    </row>
    <row r="142" customFormat="false" ht="15" hidden="false" customHeight="true" outlineLevel="0" collapsed="false">
      <c r="A142" s="1" t="s">
        <v>91</v>
      </c>
      <c r="B142" s="1" t="n">
        <v>0</v>
      </c>
      <c r="C142" s="1" t="n">
        <v>43</v>
      </c>
      <c r="D142" s="7" t="n">
        <v>47511</v>
      </c>
      <c r="E142" s="6" t="n">
        <f aca="false">((01_Lease_Master!$I$11)*EXP(IF(D142&gt;=20_Escalation_Schedule!$B$22,LN(1+20_Escalation_Schedule!$D$22),0)+IF(D142&gt;=20_Escalation_Schedule!$B$23,LN(1+20_Escalation_Schedule!$D$23),0)+IF(D142&gt;=20_Escalation_Schedule!$B$24,LN(1+20_Escalation_Schedule!$D$24),0)))</f>
        <v>87418.16</v>
      </c>
      <c r="F142" s="1" t="s">
        <v>126</v>
      </c>
      <c r="G142" s="1" t="n">
        <f aca="false">D142-01_Lease_Master!$D$11</f>
        <v>1307</v>
      </c>
      <c r="H142" s="1" t="n">
        <f aca="false">G142/365</f>
        <v>3.58082191780822</v>
      </c>
      <c r="I142" s="1" t="n">
        <f aca="false">01_Lease_Master!$P$11</f>
        <v>0.085</v>
      </c>
      <c r="J142" s="1" t="n">
        <f aca="false">IF(F142="NO",1,1/(1+I142)^H142)</f>
        <v>0.746676386331986</v>
      </c>
      <c r="K142" s="6" t="n">
        <f aca="false">IF(F142="NO",0,E142*J142)</f>
        <v>65273.0758085914</v>
      </c>
      <c r="L142" s="1" t="str">
        <f aca="false">IF(ABS(E142-E142)&lt;=01_Lease_Master!$AI$11,"PASS","CHECK")</f>
        <v>PASS</v>
      </c>
      <c r="M142" s="1" t="s">
        <v>126</v>
      </c>
    </row>
    <row r="143" customFormat="false" ht="15" hidden="false" customHeight="true" outlineLevel="0" collapsed="false">
      <c r="A143" s="1" t="s">
        <v>91</v>
      </c>
      <c r="B143" s="1" t="n">
        <v>0</v>
      </c>
      <c r="C143" s="1" t="n">
        <v>44</v>
      </c>
      <c r="D143" s="7" t="n">
        <v>47542</v>
      </c>
      <c r="E143" s="6" t="n">
        <f aca="false">((01_Lease_Master!$I$11)*EXP(IF(D143&gt;=20_Escalation_Schedule!$B$22,LN(1+20_Escalation_Schedule!$D$22),0)+IF(D143&gt;=20_Escalation_Schedule!$B$23,LN(1+20_Escalation_Schedule!$D$23),0)+IF(D143&gt;=20_Escalation_Schedule!$B$24,LN(1+20_Escalation_Schedule!$D$24),0)))</f>
        <v>87418.16</v>
      </c>
      <c r="F143" s="1" t="s">
        <v>126</v>
      </c>
      <c r="G143" s="1" t="n">
        <f aca="false">D143-01_Lease_Master!$D$11</f>
        <v>1338</v>
      </c>
      <c r="H143" s="1" t="n">
        <f aca="false">G143/365</f>
        <v>3.66575342465753</v>
      </c>
      <c r="I143" s="1" t="n">
        <f aca="false">01_Lease_Master!$P$11</f>
        <v>0.085</v>
      </c>
      <c r="J143" s="1" t="n">
        <f aca="false">IF(F143="NO",1,1/(1+I143)^H143)</f>
        <v>0.741520762812078</v>
      </c>
      <c r="K143" s="6" t="n">
        <f aca="false">IF(F143="NO",0,E143*J143)</f>
        <v>64822.3806868283</v>
      </c>
      <c r="L143" s="1" t="str">
        <f aca="false">IF(ABS(E143-E143)&lt;=01_Lease_Master!$AI$11,"PASS","CHECK")</f>
        <v>PASS</v>
      </c>
      <c r="M143" s="1" t="s">
        <v>126</v>
      </c>
    </row>
    <row r="144" customFormat="false" ht="15" hidden="false" customHeight="true" outlineLevel="0" collapsed="false">
      <c r="A144" s="1" t="s">
        <v>91</v>
      </c>
      <c r="B144" s="1" t="n">
        <v>0</v>
      </c>
      <c r="C144" s="1" t="n">
        <v>45</v>
      </c>
      <c r="D144" s="7" t="n">
        <v>47570</v>
      </c>
      <c r="E144" s="6" t="n">
        <f aca="false">((01_Lease_Master!$I$11)*EXP(IF(D144&gt;=20_Escalation_Schedule!$B$22,LN(1+20_Escalation_Schedule!$D$22),0)+IF(D144&gt;=20_Escalation_Schedule!$B$23,LN(1+20_Escalation_Schedule!$D$23),0)+IF(D144&gt;=20_Escalation_Schedule!$B$24,LN(1+20_Escalation_Schedule!$D$24),0)))</f>
        <v>87418.16</v>
      </c>
      <c r="F144" s="1" t="s">
        <v>126</v>
      </c>
      <c r="G144" s="1" t="n">
        <f aca="false">D144-01_Lease_Master!$D$11</f>
        <v>1366</v>
      </c>
      <c r="H144" s="1" t="n">
        <f aca="false">G144/365</f>
        <v>3.74246575342466</v>
      </c>
      <c r="I144" s="1" t="n">
        <f aca="false">01_Lease_Master!$P$11</f>
        <v>0.085</v>
      </c>
      <c r="J144" s="1" t="n">
        <f aca="false">IF(F144="NO",1,1/(1+I144)^H144)</f>
        <v>0.736894674977349</v>
      </c>
      <c r="K144" s="6" t="n">
        <f aca="false">IF(F144="NO",0,E144*J144)</f>
        <v>64417.9766003179</v>
      </c>
      <c r="L144" s="1" t="str">
        <f aca="false">IF(ABS(E144-E144)&lt;=01_Lease_Master!$AI$11,"PASS","CHECK")</f>
        <v>PASS</v>
      </c>
      <c r="M144" s="1" t="s">
        <v>126</v>
      </c>
    </row>
    <row r="145" customFormat="false" ht="15" hidden="false" customHeight="true" outlineLevel="0" collapsed="false">
      <c r="A145" s="1" t="s">
        <v>91</v>
      </c>
      <c r="B145" s="1" t="n">
        <v>0</v>
      </c>
      <c r="C145" s="1" t="n">
        <v>46</v>
      </c>
      <c r="D145" s="7" t="n">
        <v>47601</v>
      </c>
      <c r="E145" s="6" t="n">
        <f aca="false">((01_Lease_Master!$I$11)*EXP(IF(D145&gt;=20_Escalation_Schedule!$B$22,LN(1+20_Escalation_Schedule!$D$22),0)+IF(D145&gt;=20_Escalation_Schedule!$B$23,LN(1+20_Escalation_Schedule!$D$23),0)+IF(D145&gt;=20_Escalation_Schedule!$B$24,LN(1+20_Escalation_Schedule!$D$24),0)))</f>
        <v>87418.16</v>
      </c>
      <c r="F145" s="1" t="s">
        <v>126</v>
      </c>
      <c r="G145" s="1" t="n">
        <f aca="false">D145-01_Lease_Master!$D$11</f>
        <v>1397</v>
      </c>
      <c r="H145" s="1" t="n">
        <f aca="false">G145/365</f>
        <v>3.82739726027397</v>
      </c>
      <c r="I145" s="1" t="n">
        <f aca="false">01_Lease_Master!$P$11</f>
        <v>0.085</v>
      </c>
      <c r="J145" s="1" t="n">
        <f aca="false">IF(F145="NO",1,1/(1+I145)^H145)</f>
        <v>0.731806591856532</v>
      </c>
      <c r="K145" s="6" t="n">
        <f aca="false">IF(F145="NO",0,E145*J145)</f>
        <v>63973.185735969</v>
      </c>
      <c r="L145" s="1" t="str">
        <f aca="false">IF(ABS(E145-E145)&lt;=01_Lease_Master!$AI$11,"PASS","CHECK")</f>
        <v>PASS</v>
      </c>
      <c r="M145" s="1" t="s">
        <v>126</v>
      </c>
    </row>
    <row r="146" customFormat="false" ht="15" hidden="false" customHeight="true" outlineLevel="0" collapsed="false">
      <c r="A146" s="1" t="s">
        <v>91</v>
      </c>
      <c r="B146" s="1" t="n">
        <v>0</v>
      </c>
      <c r="C146" s="1" t="n">
        <v>47</v>
      </c>
      <c r="D146" s="7" t="n">
        <v>47631</v>
      </c>
      <c r="E146" s="6" t="n">
        <f aca="false">((01_Lease_Master!$I$11)*EXP(IF(D146&gt;=20_Escalation_Schedule!$B$22,LN(1+20_Escalation_Schedule!$D$22),0)+IF(D146&gt;=20_Escalation_Schedule!$B$23,LN(1+20_Escalation_Schedule!$D$23),0)+IF(D146&gt;=20_Escalation_Schedule!$B$24,LN(1+20_Escalation_Schedule!$D$24),0)))</f>
        <v>87418.16</v>
      </c>
      <c r="F146" s="1" t="s">
        <v>126</v>
      </c>
      <c r="G146" s="1" t="n">
        <f aca="false">D146-01_Lease_Master!$D$11</f>
        <v>1427</v>
      </c>
      <c r="H146" s="1" t="n">
        <f aca="false">G146/365</f>
        <v>3.90958904109589</v>
      </c>
      <c r="I146" s="1" t="n">
        <f aca="false">01_Lease_Master!$P$11</f>
        <v>0.085</v>
      </c>
      <c r="J146" s="1" t="n">
        <f aca="false">IF(F146="NO",1,1/(1+I146)^H146)</f>
        <v>0.726916093288545</v>
      </c>
      <c r="K146" s="6" t="n">
        <f aca="false">IF(F146="NO",0,E146*J146)</f>
        <v>63545.6673496729</v>
      </c>
      <c r="L146" s="1" t="str">
        <f aca="false">IF(ABS(E146-E146)&lt;=01_Lease_Master!$AI$11,"PASS","CHECK")</f>
        <v>PASS</v>
      </c>
      <c r="M146" s="1" t="s">
        <v>126</v>
      </c>
    </row>
    <row r="147" customFormat="false" ht="15" hidden="false" customHeight="true" outlineLevel="0" collapsed="false">
      <c r="A147" s="1" t="s">
        <v>91</v>
      </c>
      <c r="B147" s="1" t="n">
        <v>0</v>
      </c>
      <c r="C147" s="1" t="n">
        <v>48</v>
      </c>
      <c r="D147" s="7" t="n">
        <v>47662</v>
      </c>
      <c r="E147" s="6" t="n">
        <f aca="false">((01_Lease_Master!$I$11)*EXP(IF(D147&gt;=20_Escalation_Schedule!$B$22,LN(1+20_Escalation_Schedule!$D$22),0)+IF(D147&gt;=20_Escalation_Schedule!$B$23,LN(1+20_Escalation_Schedule!$D$23),0)+IF(D147&gt;=20_Escalation_Schedule!$B$24,LN(1+20_Escalation_Schedule!$D$24),0)))</f>
        <v>87418.16</v>
      </c>
      <c r="F147" s="1" t="s">
        <v>126</v>
      </c>
      <c r="G147" s="1" t="n">
        <f aca="false">D147-01_Lease_Master!$D$11</f>
        <v>1458</v>
      </c>
      <c r="H147" s="1" t="n">
        <f aca="false">G147/365</f>
        <v>3.99452054794521</v>
      </c>
      <c r="I147" s="1" t="n">
        <f aca="false">01_Lease_Master!$P$11</f>
        <v>0.085</v>
      </c>
      <c r="J147" s="1" t="n">
        <f aca="false">IF(F147="NO",1,1/(1+I147)^H147)</f>
        <v>0.721896909909828</v>
      </c>
      <c r="K147" s="6" t="n">
        <f aca="false">IF(F147="NO",0,E147*J147)</f>
        <v>63106.8995740029</v>
      </c>
      <c r="L147" s="1" t="str">
        <f aca="false">IF(ABS(E147-E147)&lt;=01_Lease_Master!$AI$11,"PASS","CHECK")</f>
        <v>PASS</v>
      </c>
      <c r="M147" s="1" t="s">
        <v>126</v>
      </c>
    </row>
    <row r="148" customFormat="false" ht="15" hidden="false" customHeight="true" outlineLevel="0" collapsed="false">
      <c r="A148" s="1" t="s">
        <v>94</v>
      </c>
      <c r="B148" s="1" t="n">
        <v>0</v>
      </c>
      <c r="C148" s="1" t="n">
        <v>1</v>
      </c>
      <c r="D148" s="7" t="n">
        <v>45566</v>
      </c>
      <c r="E148" s="6" t="n">
        <f aca="false">IF(D148&gt;=20_Escalation_Schedule!$B$26,((20_Escalation_Schedule!$D$26)*EXP(IF(D148&gt;=20_Escalation_Schedule!$B$27,LN(1+20_Escalation_Schedule!$D$27),0)+IF(D148&gt;=20_Escalation_Schedule!$B$28,LN(1+20_Escalation_Schedule!$D$28),0)+IF(D148&gt;=20_Escalation_Schedule!$B$29,LN(1+20_Escalation_Schedule!$D$29),0))),((01_Lease_Master!$I$12)*EXP(IF(D148&gt;=20_Escalation_Schedule!$B$25,LN(1+20_Escalation_Schedule!$D$25),0))))</f>
        <v>200000</v>
      </c>
      <c r="F148" s="1" t="s">
        <v>126</v>
      </c>
      <c r="G148" s="1" t="n">
        <f aca="false">D148-01_Lease_Master!$D$12</f>
        <v>0</v>
      </c>
      <c r="H148" s="1" t="n">
        <f aca="false">G148/365</f>
        <v>0</v>
      </c>
      <c r="I148" s="1" t="n">
        <f aca="false">01_Lease_Master!$P$12</f>
        <v>0.1</v>
      </c>
      <c r="J148" s="1" t="n">
        <f aca="false">IF(F148="NO",1,1/(1+I148)^H148)</f>
        <v>1</v>
      </c>
      <c r="K148" s="6" t="n">
        <f aca="false">IF(F148="NO",0,E148*J148)</f>
        <v>200000</v>
      </c>
      <c r="L148" s="1" t="str">
        <f aca="false">IF(ABS(E148-E148)&lt;=01_Lease_Master!$AI$12,"PASS","CHECK")</f>
        <v>PASS</v>
      </c>
      <c r="M148" s="1" t="s">
        <v>126</v>
      </c>
    </row>
    <row r="149" customFormat="false" ht="15" hidden="false" customHeight="true" outlineLevel="0" collapsed="false">
      <c r="A149" s="1" t="s">
        <v>94</v>
      </c>
      <c r="B149" s="1" t="n">
        <v>0</v>
      </c>
      <c r="C149" s="1" t="n">
        <v>2</v>
      </c>
      <c r="D149" s="7" t="n">
        <v>45748</v>
      </c>
      <c r="E149" s="6" t="n">
        <f aca="false">IF(D149&gt;=20_Escalation_Schedule!$B$26,((20_Escalation_Schedule!$D$26)*EXP(IF(D149&gt;=20_Escalation_Schedule!$B$27,LN(1+20_Escalation_Schedule!$D$27),0)+IF(D149&gt;=20_Escalation_Schedule!$B$28,LN(1+20_Escalation_Schedule!$D$28),0)+IF(D149&gt;=20_Escalation_Schedule!$B$29,LN(1+20_Escalation_Schedule!$D$29),0))),((01_Lease_Master!$I$12)*EXP(IF(D149&gt;=20_Escalation_Schedule!$B$25,LN(1+20_Escalation_Schedule!$D$25),0))))</f>
        <v>200000</v>
      </c>
      <c r="F149" s="1" t="s">
        <v>126</v>
      </c>
      <c r="G149" s="1" t="n">
        <f aca="false">D149-01_Lease_Master!$D$12</f>
        <v>182</v>
      </c>
      <c r="H149" s="1" t="n">
        <f aca="false">G149/365</f>
        <v>0.498630136986301</v>
      </c>
      <c r="I149" s="1" t="n">
        <f aca="false">01_Lease_Master!$P$12</f>
        <v>0.1</v>
      </c>
      <c r="J149" s="1" t="n">
        <f aca="false">IF(F149="NO",1,1/(1+I149)^H149)</f>
        <v>0.953587083250334</v>
      </c>
      <c r="K149" s="6" t="n">
        <f aca="false">IF(F149="NO",0,E149*J149)</f>
        <v>190717.416650067</v>
      </c>
      <c r="L149" s="1" t="str">
        <f aca="false">IF(ABS(E149-E149)&lt;=01_Lease_Master!$AI$12,"PASS","CHECK")</f>
        <v>PASS</v>
      </c>
      <c r="M149" s="1" t="s">
        <v>126</v>
      </c>
    </row>
    <row r="150" customFormat="false" ht="15" hidden="false" customHeight="true" outlineLevel="0" collapsed="false">
      <c r="A150" s="1" t="s">
        <v>94</v>
      </c>
      <c r="B150" s="1" t="n">
        <v>0</v>
      </c>
      <c r="C150" s="1" t="n">
        <v>3</v>
      </c>
      <c r="D150" s="7" t="n">
        <v>45931</v>
      </c>
      <c r="E150" s="6" t="n">
        <f aca="false">IF(D150&gt;=20_Escalation_Schedule!$B$26,((20_Escalation_Schedule!$D$26)*EXP(IF(D150&gt;=20_Escalation_Schedule!$B$27,LN(1+20_Escalation_Schedule!$D$27),0)+IF(D150&gt;=20_Escalation_Schedule!$B$28,LN(1+20_Escalation_Schedule!$D$28),0)+IF(D150&gt;=20_Escalation_Schedule!$B$29,LN(1+20_Escalation_Schedule!$D$29),0))),((01_Lease_Master!$I$12)*EXP(IF(D150&gt;=20_Escalation_Schedule!$B$25,LN(1+20_Escalation_Schedule!$D$25),0))))</f>
        <v>210000</v>
      </c>
      <c r="F150" s="1" t="s">
        <v>126</v>
      </c>
      <c r="G150" s="1" t="n">
        <f aca="false">D150-01_Lease_Master!$D$12</f>
        <v>365</v>
      </c>
      <c r="H150" s="1" t="n">
        <f aca="false">G150/365</f>
        <v>1</v>
      </c>
      <c r="I150" s="1" t="n">
        <f aca="false">01_Lease_Master!$P$12</f>
        <v>0.1</v>
      </c>
      <c r="J150" s="1" t="n">
        <f aca="false">IF(F150="NO",1,1/(1+I150)^H150)</f>
        <v>0.909090909090909</v>
      </c>
      <c r="K150" s="6" t="n">
        <f aca="false">IF(F150="NO",0,E150*J150)</f>
        <v>190909.090909091</v>
      </c>
      <c r="L150" s="1" t="str">
        <f aca="false">IF(ABS(E150-E150)&lt;=01_Lease_Master!$AI$12,"PASS","CHECK")</f>
        <v>PASS</v>
      </c>
      <c r="M150" s="1" t="s">
        <v>126</v>
      </c>
    </row>
    <row r="151" customFormat="false" ht="15" hidden="false" customHeight="true" outlineLevel="0" collapsed="false">
      <c r="A151" s="1" t="s">
        <v>94</v>
      </c>
      <c r="B151" s="1" t="n">
        <v>0</v>
      </c>
      <c r="C151" s="1" t="n">
        <v>4</v>
      </c>
      <c r="D151" s="7" t="n">
        <v>46113</v>
      </c>
      <c r="E151" s="6" t="n">
        <f aca="false">IF(D151&gt;=20_Escalation_Schedule!$B$26,((20_Escalation_Schedule!$D$26)*EXP(IF(D151&gt;=20_Escalation_Schedule!$B$27,LN(1+20_Escalation_Schedule!$D$27),0)+IF(D151&gt;=20_Escalation_Schedule!$B$28,LN(1+20_Escalation_Schedule!$D$28),0)+IF(D151&gt;=20_Escalation_Schedule!$B$29,LN(1+20_Escalation_Schedule!$D$29),0))),((01_Lease_Master!$I$12)*EXP(IF(D151&gt;=20_Escalation_Schedule!$B$25,LN(1+20_Escalation_Schedule!$D$25),0))))</f>
        <v>240000</v>
      </c>
      <c r="F151" s="1" t="s">
        <v>126</v>
      </c>
      <c r="G151" s="1" t="n">
        <f aca="false">D151-01_Lease_Master!$D$12</f>
        <v>547</v>
      </c>
      <c r="H151" s="1" t="n">
        <f aca="false">G151/365</f>
        <v>1.4986301369863</v>
      </c>
      <c r="I151" s="1" t="n">
        <f aca="false">01_Lease_Master!$P$12</f>
        <v>0.1</v>
      </c>
      <c r="J151" s="1" t="n">
        <f aca="false">IF(F151="NO",1,1/(1+I151)^H151)</f>
        <v>0.866897348409395</v>
      </c>
      <c r="K151" s="6" t="n">
        <f aca="false">IF(F151="NO",0,E151*J151)</f>
        <v>208055.363618255</v>
      </c>
      <c r="L151" s="1" t="str">
        <f aca="false">IF(ABS(E151-E151)&lt;=01_Lease_Master!$AI$12,"PASS","CHECK")</f>
        <v>PASS</v>
      </c>
      <c r="M151" s="1" t="s">
        <v>126</v>
      </c>
    </row>
    <row r="152" customFormat="false" ht="15" hidden="false" customHeight="true" outlineLevel="0" collapsed="false">
      <c r="A152" s="1" t="s">
        <v>94</v>
      </c>
      <c r="B152" s="1" t="n">
        <v>0</v>
      </c>
      <c r="C152" s="1" t="n">
        <v>5</v>
      </c>
      <c r="D152" s="7" t="n">
        <v>46296</v>
      </c>
      <c r="E152" s="6" t="n">
        <f aca="false">IF(D152&gt;=20_Escalation_Schedule!$B$26,((20_Escalation_Schedule!$D$26)*EXP(IF(D152&gt;=20_Escalation_Schedule!$B$27,LN(1+20_Escalation_Schedule!$D$27),0)+IF(D152&gt;=20_Escalation_Schedule!$B$28,LN(1+20_Escalation_Schedule!$D$28),0)+IF(D152&gt;=20_Escalation_Schedule!$B$29,LN(1+20_Escalation_Schedule!$D$29),0))),((01_Lease_Master!$I$12)*EXP(IF(D152&gt;=20_Escalation_Schedule!$B$25,LN(1+20_Escalation_Schedule!$D$25),0))))</f>
        <v>240000</v>
      </c>
      <c r="F152" s="1" t="s">
        <v>126</v>
      </c>
      <c r="G152" s="1" t="n">
        <f aca="false">D152-01_Lease_Master!$D$12</f>
        <v>730</v>
      </c>
      <c r="H152" s="1" t="n">
        <f aca="false">G152/365</f>
        <v>2</v>
      </c>
      <c r="I152" s="1" t="n">
        <f aca="false">01_Lease_Master!$P$12</f>
        <v>0.1</v>
      </c>
      <c r="J152" s="1" t="n">
        <f aca="false">IF(F152="NO",1,1/(1+I152)^H152)</f>
        <v>0.826446280991735</v>
      </c>
      <c r="K152" s="6" t="n">
        <f aca="false">IF(F152="NO",0,E152*J152)</f>
        <v>198347.107438017</v>
      </c>
      <c r="L152" s="1" t="str">
        <f aca="false">IF(ABS(E152-E152)&lt;=01_Lease_Master!$AI$12,"PASS","CHECK")</f>
        <v>PASS</v>
      </c>
      <c r="M152" s="1" t="s">
        <v>126</v>
      </c>
    </row>
    <row r="153" customFormat="false" ht="15" hidden="false" customHeight="true" outlineLevel="0" collapsed="false">
      <c r="A153" s="1" t="s">
        <v>94</v>
      </c>
      <c r="B153" s="1" t="n">
        <v>0</v>
      </c>
      <c r="C153" s="1" t="n">
        <v>6</v>
      </c>
      <c r="D153" s="7" t="n">
        <v>46478</v>
      </c>
      <c r="E153" s="6" t="n">
        <f aca="false">IF(D153&gt;=20_Escalation_Schedule!$B$26,((20_Escalation_Schedule!$D$26)*EXP(IF(D153&gt;=20_Escalation_Schedule!$B$27,LN(1+20_Escalation_Schedule!$D$27),0)+IF(D153&gt;=20_Escalation_Schedule!$B$28,LN(1+20_Escalation_Schedule!$D$28),0)+IF(D153&gt;=20_Escalation_Schedule!$B$29,LN(1+20_Escalation_Schedule!$D$29),0))),((01_Lease_Master!$I$12)*EXP(IF(D153&gt;=20_Escalation_Schedule!$B$25,LN(1+20_Escalation_Schedule!$D$25),0))))</f>
        <v>252000</v>
      </c>
      <c r="F153" s="1" t="s">
        <v>126</v>
      </c>
      <c r="G153" s="1" t="n">
        <f aca="false">D153-01_Lease_Master!$D$12</f>
        <v>912</v>
      </c>
      <c r="H153" s="1" t="n">
        <f aca="false">G153/365</f>
        <v>2.4986301369863</v>
      </c>
      <c r="I153" s="1" t="n">
        <f aca="false">01_Lease_Master!$P$12</f>
        <v>0.1</v>
      </c>
      <c r="J153" s="1" t="n">
        <f aca="false">IF(F153="NO",1,1/(1+I153)^H153)</f>
        <v>0.788088498553995</v>
      </c>
      <c r="K153" s="6" t="n">
        <f aca="false">IF(F153="NO",0,E153*J153)</f>
        <v>198598.301635607</v>
      </c>
      <c r="L153" s="1" t="str">
        <f aca="false">IF(ABS(E153-E153)&lt;=01_Lease_Master!$AI$12,"PASS","CHECK")</f>
        <v>PASS</v>
      </c>
      <c r="M153" s="1" t="s">
        <v>126</v>
      </c>
    </row>
    <row r="154" customFormat="false" ht="15" hidden="false" customHeight="true" outlineLevel="0" collapsed="false">
      <c r="A154" s="1" t="s">
        <v>94</v>
      </c>
      <c r="B154" s="1" t="n">
        <v>0</v>
      </c>
      <c r="C154" s="1" t="n">
        <v>7</v>
      </c>
      <c r="D154" s="7" t="n">
        <v>46661</v>
      </c>
      <c r="E154" s="6" t="n">
        <f aca="false">IF(D154&gt;=20_Escalation_Schedule!$B$26,((20_Escalation_Schedule!$D$26)*EXP(IF(D154&gt;=20_Escalation_Schedule!$B$27,LN(1+20_Escalation_Schedule!$D$27),0)+IF(D154&gt;=20_Escalation_Schedule!$B$28,LN(1+20_Escalation_Schedule!$D$28),0)+IF(D154&gt;=20_Escalation_Schedule!$B$29,LN(1+20_Escalation_Schedule!$D$29),0))),((01_Lease_Master!$I$12)*EXP(IF(D154&gt;=20_Escalation_Schedule!$B$25,LN(1+20_Escalation_Schedule!$D$25),0))))</f>
        <v>252000</v>
      </c>
      <c r="F154" s="1" t="s">
        <v>126</v>
      </c>
      <c r="G154" s="1" t="n">
        <f aca="false">D154-01_Lease_Master!$D$12</f>
        <v>1095</v>
      </c>
      <c r="H154" s="1" t="n">
        <f aca="false">G154/365</f>
        <v>3</v>
      </c>
      <c r="I154" s="1" t="n">
        <f aca="false">01_Lease_Master!$P$12</f>
        <v>0.1</v>
      </c>
      <c r="J154" s="1" t="n">
        <f aca="false">IF(F154="NO",1,1/(1+I154)^H154)</f>
        <v>0.751314800901578</v>
      </c>
      <c r="K154" s="6" t="n">
        <f aca="false">IF(F154="NO",0,E154*J154)</f>
        <v>189331.329827198</v>
      </c>
      <c r="L154" s="1" t="str">
        <f aca="false">IF(ABS(E154-E154)&lt;=01_Lease_Master!$AI$12,"PASS","CHECK")</f>
        <v>PASS</v>
      </c>
      <c r="M154" s="1" t="s">
        <v>126</v>
      </c>
    </row>
    <row r="155" customFormat="false" ht="15" hidden="false" customHeight="true" outlineLevel="0" collapsed="false">
      <c r="A155" s="1" t="s">
        <v>94</v>
      </c>
      <c r="B155" s="1" t="n">
        <v>0</v>
      </c>
      <c r="C155" s="1" t="n">
        <v>8</v>
      </c>
      <c r="D155" s="7" t="n">
        <v>46844</v>
      </c>
      <c r="E155" s="6" t="n">
        <f aca="false">IF(D155&gt;=20_Escalation_Schedule!$B$26,((20_Escalation_Schedule!$D$26)*EXP(IF(D155&gt;=20_Escalation_Schedule!$B$27,LN(1+20_Escalation_Schedule!$D$27),0)+IF(D155&gt;=20_Escalation_Schedule!$B$28,LN(1+20_Escalation_Schedule!$D$28),0)+IF(D155&gt;=20_Escalation_Schedule!$B$29,LN(1+20_Escalation_Schedule!$D$29),0))),((01_Lease_Master!$I$12)*EXP(IF(D155&gt;=20_Escalation_Schedule!$B$25,LN(1+20_Escalation_Schedule!$D$25),0))))</f>
        <v>264600</v>
      </c>
      <c r="F155" s="1" t="s">
        <v>126</v>
      </c>
      <c r="G155" s="1" t="n">
        <f aca="false">D155-01_Lease_Master!$D$12</f>
        <v>1278</v>
      </c>
      <c r="H155" s="1" t="n">
        <f aca="false">G155/365</f>
        <v>3.5013698630137</v>
      </c>
      <c r="I155" s="1" t="n">
        <f aca="false">01_Lease_Master!$P$12</f>
        <v>0.1</v>
      </c>
      <c r="J155" s="1" t="n">
        <f aca="false">IF(F155="NO",1,1/(1+I155)^H155)</f>
        <v>0.716257033428972</v>
      </c>
      <c r="K155" s="6" t="n">
        <f aca="false">IF(F155="NO",0,E155*J155)</f>
        <v>189521.611045306</v>
      </c>
      <c r="L155" s="1" t="str">
        <f aca="false">IF(ABS(E155-E155)&lt;=01_Lease_Master!$AI$12,"PASS","CHECK")</f>
        <v>PASS</v>
      </c>
      <c r="M155" s="1" t="s">
        <v>126</v>
      </c>
    </row>
    <row r="156" customFormat="false" ht="15" hidden="false" customHeight="true" outlineLevel="0" collapsed="false">
      <c r="A156" s="1" t="s">
        <v>94</v>
      </c>
      <c r="B156" s="1" t="n">
        <v>0</v>
      </c>
      <c r="C156" s="1" t="n">
        <v>9</v>
      </c>
      <c r="D156" s="7" t="n">
        <v>47027</v>
      </c>
      <c r="E156" s="6" t="n">
        <f aca="false">IF(D156&gt;=20_Escalation_Schedule!$B$26,((20_Escalation_Schedule!$D$26)*EXP(IF(D156&gt;=20_Escalation_Schedule!$B$27,LN(1+20_Escalation_Schedule!$D$27),0)+IF(D156&gt;=20_Escalation_Schedule!$B$28,LN(1+20_Escalation_Schedule!$D$28),0)+IF(D156&gt;=20_Escalation_Schedule!$B$29,LN(1+20_Escalation_Schedule!$D$29),0))),((01_Lease_Master!$I$12)*EXP(IF(D156&gt;=20_Escalation_Schedule!$B$25,LN(1+20_Escalation_Schedule!$D$25),0))))</f>
        <v>264600</v>
      </c>
      <c r="F156" s="1" t="s">
        <v>126</v>
      </c>
      <c r="G156" s="1" t="n">
        <f aca="false">D156-01_Lease_Master!$D$12</f>
        <v>1461</v>
      </c>
      <c r="H156" s="1" t="n">
        <f aca="false">G156/365</f>
        <v>4.0027397260274</v>
      </c>
      <c r="I156" s="1" t="n">
        <f aca="false">01_Lease_Master!$P$12</f>
        <v>0.1</v>
      </c>
      <c r="J156" s="1" t="n">
        <f aca="false">IF(F156="NO",1,1/(1+I156)^H156)</f>
        <v>0.682835127593444</v>
      </c>
      <c r="K156" s="6" t="n">
        <f aca="false">IF(F156="NO",0,E156*J156)</f>
        <v>180678.174761225</v>
      </c>
      <c r="L156" s="1" t="str">
        <f aca="false">IF(ABS(E156-E156)&lt;=01_Lease_Master!$AI$12,"PASS","CHECK")</f>
        <v>PASS</v>
      </c>
      <c r="M156" s="1" t="s">
        <v>126</v>
      </c>
    </row>
    <row r="157" customFormat="false" ht="15" hidden="false" customHeight="true" outlineLevel="0" collapsed="false">
      <c r="A157" s="1" t="s">
        <v>94</v>
      </c>
      <c r="B157" s="1" t="n">
        <v>0</v>
      </c>
      <c r="C157" s="1" t="n">
        <v>10</v>
      </c>
      <c r="D157" s="7" t="n">
        <v>47209</v>
      </c>
      <c r="E157" s="6" t="n">
        <f aca="false">IF(D157&gt;=20_Escalation_Schedule!$B$26,((20_Escalation_Schedule!$D$26)*EXP(IF(D157&gt;=20_Escalation_Schedule!$B$27,LN(1+20_Escalation_Schedule!$D$27),0)+IF(D157&gt;=20_Escalation_Schedule!$B$28,LN(1+20_Escalation_Schedule!$D$28),0)+IF(D157&gt;=20_Escalation_Schedule!$B$29,LN(1+20_Escalation_Schedule!$D$29),0))),((01_Lease_Master!$I$12)*EXP(IF(D157&gt;=20_Escalation_Schedule!$B$25,LN(1+20_Escalation_Schedule!$D$25),0))))</f>
        <v>277830</v>
      </c>
      <c r="F157" s="1" t="s">
        <v>126</v>
      </c>
      <c r="G157" s="1" t="n">
        <f aca="false">D157-01_Lease_Master!$D$12</f>
        <v>1643</v>
      </c>
      <c r="H157" s="1" t="n">
        <f aca="false">G157/365</f>
        <v>4.5013698630137</v>
      </c>
      <c r="I157" s="1" t="n">
        <f aca="false">01_Lease_Master!$P$12</f>
        <v>0.1</v>
      </c>
      <c r="J157" s="1" t="n">
        <f aca="false">IF(F157="NO",1,1/(1+I157)^H157)</f>
        <v>0.651142757662702</v>
      </c>
      <c r="K157" s="6" t="n">
        <f aca="false">IF(F157="NO",0,E157*J157)</f>
        <v>180906.992361428</v>
      </c>
      <c r="L157" s="1" t="str">
        <f aca="false">IF(ABS(E157-E157)&lt;=01_Lease_Master!$AI$12,"PASS","CHECK")</f>
        <v>PASS</v>
      </c>
      <c r="M157" s="1" t="s">
        <v>126</v>
      </c>
    </row>
    <row r="158" customFormat="false" ht="15" hidden="false" customHeight="true" outlineLevel="0" collapsed="false">
      <c r="A158" s="1" t="s">
        <v>97</v>
      </c>
      <c r="B158" s="1" t="n">
        <v>0</v>
      </c>
      <c r="C158" s="1" t="n">
        <v>1</v>
      </c>
      <c r="D158" s="7" t="n">
        <v>44927</v>
      </c>
      <c r="E158" s="6" t="n">
        <f aca="false">01_Lease_Master!$I$13</f>
        <v>18000</v>
      </c>
      <c r="F158" s="1" t="s">
        <v>127</v>
      </c>
      <c r="G158" s="1" t="n">
        <f aca="false">D158-01_Lease_Master!$D$13</f>
        <v>0</v>
      </c>
      <c r="H158" s="1" t="n">
        <f aca="false">G158/365</f>
        <v>0</v>
      </c>
      <c r="I158" s="1" t="n">
        <f aca="false">01_Lease_Master!$P$13</f>
        <v>0.085</v>
      </c>
      <c r="J158" s="1" t="n">
        <f aca="false">IF(F158="NO",1,1/(1+I158)^H158)</f>
        <v>1</v>
      </c>
      <c r="K158" s="6" t="n">
        <f aca="false">IF(F158="NO",0,E158*J158)</f>
        <v>0</v>
      </c>
      <c r="L158" s="1" t="str">
        <f aca="false">IF(ABS(E158-E158)&lt;=01_Lease_Master!$AI$13,"PASS","CHECK")</f>
        <v>PASS</v>
      </c>
      <c r="M158" s="1" t="s">
        <v>126</v>
      </c>
    </row>
    <row r="159" customFormat="false" ht="15" hidden="false" customHeight="true" outlineLevel="0" collapsed="false">
      <c r="A159" s="1" t="s">
        <v>97</v>
      </c>
      <c r="B159" s="1" t="n">
        <v>0</v>
      </c>
      <c r="C159" s="1" t="n">
        <v>2</v>
      </c>
      <c r="D159" s="7" t="n">
        <v>45292</v>
      </c>
      <c r="E159" s="6" t="n">
        <f aca="false">01_Lease_Master!$I$13</f>
        <v>18000</v>
      </c>
      <c r="F159" s="1" t="s">
        <v>126</v>
      </c>
      <c r="G159" s="1" t="n">
        <f aca="false">D159-01_Lease_Master!$D$13</f>
        <v>365</v>
      </c>
      <c r="H159" s="1" t="n">
        <f aca="false">G159/365</f>
        <v>1</v>
      </c>
      <c r="I159" s="1" t="n">
        <f aca="false">01_Lease_Master!$P$13</f>
        <v>0.085</v>
      </c>
      <c r="J159" s="1" t="n">
        <f aca="false">IF(F159="NO",1,1/(1+I159)^H159)</f>
        <v>0.921658986175115</v>
      </c>
      <c r="K159" s="6" t="n">
        <f aca="false">IF(F159="NO",0,E159*J159)</f>
        <v>16589.8617511521</v>
      </c>
      <c r="L159" s="1" t="str">
        <f aca="false">IF(ABS(E159-E159)&lt;=01_Lease_Master!$AI$13,"PASS","CHECK")</f>
        <v>PASS</v>
      </c>
      <c r="M159" s="1" t="s">
        <v>126</v>
      </c>
    </row>
    <row r="160" customFormat="false" ht="15" hidden="false" customHeight="true" outlineLevel="0" collapsed="false">
      <c r="A160" s="1" t="s">
        <v>97</v>
      </c>
      <c r="B160" s="1" t="n">
        <v>0</v>
      </c>
      <c r="C160" s="1" t="n">
        <v>3</v>
      </c>
      <c r="D160" s="7" t="n">
        <v>45658</v>
      </c>
      <c r="E160" s="6" t="n">
        <f aca="false">01_Lease_Master!$I$13</f>
        <v>18000</v>
      </c>
      <c r="F160" s="1" t="s">
        <v>126</v>
      </c>
      <c r="G160" s="1" t="n">
        <f aca="false">D160-01_Lease_Master!$D$13</f>
        <v>731</v>
      </c>
      <c r="H160" s="1" t="n">
        <f aca="false">G160/365</f>
        <v>2.0027397260274</v>
      </c>
      <c r="I160" s="1" t="n">
        <f aca="false">01_Lease_Master!$P$13</f>
        <v>0.085</v>
      </c>
      <c r="J160" s="1" t="n">
        <f aca="false">IF(F160="NO",1,1/(1+I160)^H160)</f>
        <v>0.849265448968642</v>
      </c>
      <c r="K160" s="6" t="n">
        <f aca="false">IF(F160="NO",0,E160*J160)</f>
        <v>15286.7780814356</v>
      </c>
      <c r="L160" s="1" t="str">
        <f aca="false">IF(ABS(E160-E160)&lt;=01_Lease_Master!$AI$13,"PASS","CHECK")</f>
        <v>PASS</v>
      </c>
      <c r="M160" s="1" t="s">
        <v>126</v>
      </c>
    </row>
    <row r="161" customFormat="false" ht="15" hidden="false" customHeight="true" outlineLevel="0" collapsed="false">
      <c r="A161" s="1" t="s">
        <v>97</v>
      </c>
      <c r="B161" s="1" t="n">
        <v>0</v>
      </c>
      <c r="C161" s="1" t="n">
        <v>4</v>
      </c>
      <c r="D161" s="7" t="n">
        <v>46023</v>
      </c>
      <c r="E161" s="6" t="n">
        <f aca="false">01_Lease_Master!$I$13</f>
        <v>18000</v>
      </c>
      <c r="F161" s="1" t="s">
        <v>126</v>
      </c>
      <c r="G161" s="1" t="n">
        <f aca="false">D161-01_Lease_Master!$D$13</f>
        <v>1096</v>
      </c>
      <c r="H161" s="1" t="n">
        <f aca="false">G161/365</f>
        <v>3.0027397260274</v>
      </c>
      <c r="I161" s="1" t="n">
        <f aca="false">01_Lease_Master!$P$13</f>
        <v>0.085</v>
      </c>
      <c r="J161" s="1" t="n">
        <f aca="false">IF(F161="NO",1,1/(1+I161)^H161)</f>
        <v>0.782733132689993</v>
      </c>
      <c r="K161" s="6" t="n">
        <f aca="false">IF(F161="NO",0,E161*J161)</f>
        <v>14089.1963884199</v>
      </c>
      <c r="L161" s="1" t="str">
        <f aca="false">IF(ABS(E161-E161)&lt;=01_Lease_Master!$AI$13,"PASS","CHECK")</f>
        <v>PASS</v>
      </c>
      <c r="M161" s="1" t="s">
        <v>126</v>
      </c>
    </row>
    <row r="162" customFormat="false" ht="15" hidden="false" customHeight="true" outlineLevel="0" collapsed="false">
      <c r="A162" s="1" t="s">
        <v>97</v>
      </c>
      <c r="B162" s="1" t="n">
        <v>0</v>
      </c>
      <c r="C162" s="1" t="n">
        <v>5</v>
      </c>
      <c r="D162" s="7" t="n">
        <v>46388</v>
      </c>
      <c r="E162" s="6" t="n">
        <f aca="false">01_Lease_Master!$I$13</f>
        <v>18000</v>
      </c>
      <c r="F162" s="1" t="s">
        <v>126</v>
      </c>
      <c r="G162" s="1" t="n">
        <f aca="false">D162-01_Lease_Master!$D$13</f>
        <v>1461</v>
      </c>
      <c r="H162" s="1" t="n">
        <f aca="false">G162/365</f>
        <v>4.0027397260274</v>
      </c>
      <c r="I162" s="1" t="n">
        <f aca="false">01_Lease_Master!$P$13</f>
        <v>0.085</v>
      </c>
      <c r="J162" s="1" t="n">
        <f aca="false">IF(F162="NO",1,1/(1+I162)^H162)</f>
        <v>0.72141302552073</v>
      </c>
      <c r="K162" s="6" t="n">
        <f aca="false">IF(F162="NO",0,E162*J162)</f>
        <v>12985.4344593731</v>
      </c>
      <c r="L162" s="1" t="str">
        <f aca="false">IF(ABS(E162-E162)&lt;=01_Lease_Master!$AI$13,"PASS","CHECK")</f>
        <v>PASS</v>
      </c>
      <c r="M162" s="1" t="s">
        <v>126</v>
      </c>
    </row>
    <row r="163" customFormat="false" ht="15" hidden="false" customHeight="true" outlineLevel="0" collapsed="false">
      <c r="A163" s="1" t="s">
        <v>101</v>
      </c>
      <c r="B163" s="1" t="n">
        <v>0</v>
      </c>
      <c r="C163" s="1" t="n">
        <v>1</v>
      </c>
      <c r="D163" s="7" t="n">
        <v>45839</v>
      </c>
      <c r="E163" s="6" t="n">
        <f aca="false">IF(D163&gt;=20_Escalation_Schedule!$B$30,((20_Escalation_Schedule!$D$30)*EXP(0)+IF(D163&gt;=20_Escalation_Schedule!$B$31,20_Escalation_Schedule!$D$31*EXP(0),0)),((01_Lease_Master!$I$14)*EXP(0)))</f>
        <v>100000</v>
      </c>
      <c r="F163" s="1" t="s">
        <v>126</v>
      </c>
      <c r="G163" s="1" t="n">
        <f aca="false">D163-01_Lease_Master!$D$14</f>
        <v>30</v>
      </c>
      <c r="H163" s="1" t="n">
        <f aca="false">G163/365</f>
        <v>0.0821917808219178</v>
      </c>
      <c r="I163" s="1" t="n">
        <f aca="false">01_Lease_Master!$P$14</f>
        <v>0.105</v>
      </c>
      <c r="J163" s="1" t="n">
        <f aca="false">IF(F163="NO",1,1/(1+I163)^H163)</f>
        <v>0.991827115229711</v>
      </c>
      <c r="K163" s="6" t="n">
        <f aca="false">IF(F163="NO",0,E163*J163)</f>
        <v>99182.7115229711</v>
      </c>
      <c r="L163" s="1" t="str">
        <f aca="false">IF(ABS(E163-E163)&lt;=01_Lease_Master!$AI$14,"PASS","CHECK")</f>
        <v>PASS</v>
      </c>
      <c r="M163" s="1" t="s">
        <v>126</v>
      </c>
    </row>
    <row r="164" customFormat="false" ht="15" hidden="false" customHeight="true" outlineLevel="0" collapsed="false">
      <c r="A164" s="1" t="s">
        <v>101</v>
      </c>
      <c r="B164" s="1" t="n">
        <v>0</v>
      </c>
      <c r="C164" s="1" t="n">
        <v>2</v>
      </c>
      <c r="D164" s="7" t="n">
        <v>45870</v>
      </c>
      <c r="E164" s="6" t="n">
        <f aca="false">IF(D164&gt;=20_Escalation_Schedule!$B$30,((20_Escalation_Schedule!$D$30)*EXP(0)+IF(D164&gt;=20_Escalation_Schedule!$B$31,20_Escalation_Schedule!$D$31*EXP(0),0)),((01_Lease_Master!$I$14)*EXP(0)))</f>
        <v>100000</v>
      </c>
      <c r="F164" s="1" t="s">
        <v>126</v>
      </c>
      <c r="G164" s="1" t="n">
        <f aca="false">D164-01_Lease_Master!$D$14</f>
        <v>61</v>
      </c>
      <c r="H164" s="1" t="n">
        <f aca="false">G164/365</f>
        <v>0.167123287671233</v>
      </c>
      <c r="I164" s="1" t="n">
        <f aca="false">01_Lease_Master!$P$14</f>
        <v>0.105</v>
      </c>
      <c r="J164" s="1" t="n">
        <f aca="false">IF(F164="NO",1,1/(1+I164)^H164)</f>
        <v>0.983451967538714</v>
      </c>
      <c r="K164" s="6" t="n">
        <f aca="false">IF(F164="NO",0,E164*J164)</f>
        <v>98345.1967538714</v>
      </c>
      <c r="L164" s="1" t="str">
        <f aca="false">IF(ABS(E164-E164)&lt;=01_Lease_Master!$AI$14,"PASS","CHECK")</f>
        <v>PASS</v>
      </c>
      <c r="M164" s="1" t="s">
        <v>126</v>
      </c>
    </row>
    <row r="165" customFormat="false" ht="15" hidden="false" customHeight="true" outlineLevel="0" collapsed="false">
      <c r="A165" s="1" t="s">
        <v>101</v>
      </c>
      <c r="B165" s="1" t="n">
        <v>0</v>
      </c>
      <c r="C165" s="1" t="n">
        <v>3</v>
      </c>
      <c r="D165" s="7" t="n">
        <v>45901</v>
      </c>
      <c r="E165" s="6" t="n">
        <f aca="false">IF(D165&gt;=20_Escalation_Schedule!$B$30,((20_Escalation_Schedule!$D$30)*EXP(0)+IF(D165&gt;=20_Escalation_Schedule!$B$31,20_Escalation_Schedule!$D$31*EXP(0),0)),((01_Lease_Master!$I$14)*EXP(0)))</f>
        <v>100000</v>
      </c>
      <c r="F165" s="1" t="s">
        <v>126</v>
      </c>
      <c r="G165" s="1" t="n">
        <f aca="false">D165-01_Lease_Master!$D$14</f>
        <v>92</v>
      </c>
      <c r="H165" s="1" t="n">
        <f aca="false">G165/365</f>
        <v>0.252054794520548</v>
      </c>
      <c r="I165" s="1" t="n">
        <f aca="false">01_Lease_Master!$P$14</f>
        <v>0.105</v>
      </c>
      <c r="J165" s="1" t="n">
        <f aca="false">IF(F165="NO",1,1/(1+I165)^H165)</f>
        <v>0.975147540941916</v>
      </c>
      <c r="K165" s="6" t="n">
        <f aca="false">IF(F165="NO",0,E165*J165)</f>
        <v>97514.7540941916</v>
      </c>
      <c r="L165" s="1" t="str">
        <f aca="false">IF(ABS(E165-E165)&lt;=01_Lease_Master!$AI$14,"PASS","CHECK")</f>
        <v>PASS</v>
      </c>
      <c r="M165" s="1" t="s">
        <v>126</v>
      </c>
    </row>
    <row r="166" customFormat="false" ht="15" hidden="false" customHeight="true" outlineLevel="0" collapsed="false">
      <c r="A166" s="1" t="s">
        <v>101</v>
      </c>
      <c r="B166" s="1" t="n">
        <v>0</v>
      </c>
      <c r="C166" s="1" t="n">
        <v>4</v>
      </c>
      <c r="D166" s="7" t="n">
        <v>45931</v>
      </c>
      <c r="E166" s="6" t="n">
        <f aca="false">IF(D166&gt;=20_Escalation_Schedule!$B$30,((20_Escalation_Schedule!$D$30)*EXP(0)+IF(D166&gt;=20_Escalation_Schedule!$B$31,20_Escalation_Schedule!$D$31*EXP(0),0)),((01_Lease_Master!$I$14)*EXP(0)))</f>
        <v>100000</v>
      </c>
      <c r="F166" s="1" t="s">
        <v>126</v>
      </c>
      <c r="G166" s="1" t="n">
        <f aca="false">D166-01_Lease_Master!$D$14</f>
        <v>122</v>
      </c>
      <c r="H166" s="1" t="n">
        <f aca="false">G166/365</f>
        <v>0.334246575342466</v>
      </c>
      <c r="I166" s="1" t="n">
        <f aca="false">01_Lease_Master!$P$14</f>
        <v>0.105</v>
      </c>
      <c r="J166" s="1" t="n">
        <f aca="false">IF(F166="NO",1,1/(1+I166)^H166)</f>
        <v>0.967177772455767</v>
      </c>
      <c r="K166" s="6" t="n">
        <f aca="false">IF(F166="NO",0,E166*J166)</f>
        <v>96717.7772455767</v>
      </c>
      <c r="L166" s="1" t="str">
        <f aca="false">IF(ABS(E166-E166)&lt;=01_Lease_Master!$AI$14,"PASS","CHECK")</f>
        <v>PASS</v>
      </c>
      <c r="M166" s="1" t="s">
        <v>126</v>
      </c>
    </row>
    <row r="167" customFormat="false" ht="15" hidden="false" customHeight="true" outlineLevel="0" collapsed="false">
      <c r="A167" s="1" t="s">
        <v>101</v>
      </c>
      <c r="B167" s="1" t="n">
        <v>0</v>
      </c>
      <c r="C167" s="1" t="n">
        <v>5</v>
      </c>
      <c r="D167" s="7" t="n">
        <v>45962</v>
      </c>
      <c r="E167" s="6" t="n">
        <f aca="false">IF(D167&gt;=20_Escalation_Schedule!$B$30,((20_Escalation_Schedule!$D$30)*EXP(0)+IF(D167&gt;=20_Escalation_Schedule!$B$31,20_Escalation_Schedule!$D$31*EXP(0),0)),((01_Lease_Master!$I$14)*EXP(0)))</f>
        <v>100000</v>
      </c>
      <c r="F167" s="1" t="s">
        <v>126</v>
      </c>
      <c r="G167" s="1" t="n">
        <f aca="false">D167-01_Lease_Master!$D$14</f>
        <v>153</v>
      </c>
      <c r="H167" s="1" t="n">
        <f aca="false">G167/365</f>
        <v>0.419178082191781</v>
      </c>
      <c r="I167" s="1" t="n">
        <f aca="false">01_Lease_Master!$P$14</f>
        <v>0.105</v>
      </c>
      <c r="J167" s="1" t="n">
        <f aca="false">IF(F167="NO",1,1/(1+I167)^H167)</f>
        <v>0.959010767779866</v>
      </c>
      <c r="K167" s="6" t="n">
        <f aca="false">IF(F167="NO",0,E167*J167)</f>
        <v>95901.0767779866</v>
      </c>
      <c r="L167" s="1" t="str">
        <f aca="false">IF(ABS(E167-E167)&lt;=01_Lease_Master!$AI$14,"PASS","CHECK")</f>
        <v>PASS</v>
      </c>
      <c r="M167" s="1" t="s">
        <v>126</v>
      </c>
    </row>
    <row r="168" customFormat="false" ht="15" hidden="false" customHeight="true" outlineLevel="0" collapsed="false">
      <c r="A168" s="1" t="s">
        <v>101</v>
      </c>
      <c r="B168" s="1" t="n">
        <v>0</v>
      </c>
      <c r="C168" s="1" t="n">
        <v>6</v>
      </c>
      <c r="D168" s="7" t="n">
        <v>45992</v>
      </c>
      <c r="E168" s="6" t="n">
        <f aca="false">IF(D168&gt;=20_Escalation_Schedule!$B$30,((20_Escalation_Schedule!$D$30)*EXP(0)+IF(D168&gt;=20_Escalation_Schedule!$B$31,20_Escalation_Schedule!$D$31*EXP(0),0)),((01_Lease_Master!$I$14)*EXP(0)))</f>
        <v>100000</v>
      </c>
      <c r="F168" s="1" t="s">
        <v>126</v>
      </c>
      <c r="G168" s="1" t="n">
        <f aca="false">D168-01_Lease_Master!$D$14</f>
        <v>183</v>
      </c>
      <c r="H168" s="1" t="n">
        <f aca="false">G168/365</f>
        <v>0.501369863013699</v>
      </c>
      <c r="I168" s="1" t="n">
        <f aca="false">01_Lease_Master!$P$14</f>
        <v>0.105</v>
      </c>
      <c r="J168" s="1" t="n">
        <f aca="false">IF(F168="NO",1,1/(1+I168)^H168)</f>
        <v>0.951172883281334</v>
      </c>
      <c r="K168" s="6" t="n">
        <f aca="false">IF(F168="NO",0,E168*J168)</f>
        <v>95117.2883281334</v>
      </c>
      <c r="L168" s="1" t="str">
        <f aca="false">IF(ABS(E168-E168)&lt;=01_Lease_Master!$AI$14,"PASS","CHECK")</f>
        <v>PASS</v>
      </c>
      <c r="M168" s="1" t="s">
        <v>126</v>
      </c>
    </row>
    <row r="169" customFormat="false" ht="15" hidden="false" customHeight="true" outlineLevel="0" collapsed="false">
      <c r="A169" s="1" t="s">
        <v>101</v>
      </c>
      <c r="B169" s="1" t="n">
        <v>0</v>
      </c>
      <c r="C169" s="1" t="n">
        <v>7</v>
      </c>
      <c r="D169" s="7" t="n">
        <v>46023</v>
      </c>
      <c r="E169" s="6" t="n">
        <f aca="false">IF(D169&gt;=20_Escalation_Schedule!$B$30,((20_Escalation_Schedule!$D$30)*EXP(0)+IF(D169&gt;=20_Escalation_Schedule!$B$31,20_Escalation_Schedule!$D$31*EXP(0),0)),((01_Lease_Master!$I$14)*EXP(0)))</f>
        <v>100000</v>
      </c>
      <c r="F169" s="1" t="s">
        <v>126</v>
      </c>
      <c r="G169" s="1" t="n">
        <f aca="false">D169-01_Lease_Master!$D$14</f>
        <v>214</v>
      </c>
      <c r="H169" s="1" t="n">
        <f aca="false">G169/365</f>
        <v>0.586301369863014</v>
      </c>
      <c r="I169" s="1" t="n">
        <f aca="false">01_Lease_Master!$P$14</f>
        <v>0.105</v>
      </c>
      <c r="J169" s="1" t="n">
        <f aca="false">IF(F169="NO",1,1/(1+I169)^H169)</f>
        <v>0.943141026463921</v>
      </c>
      <c r="K169" s="6" t="n">
        <f aca="false">IF(F169="NO",0,E169*J169)</f>
        <v>94314.1026463921</v>
      </c>
      <c r="L169" s="1" t="str">
        <f aca="false">IF(ABS(E169-E169)&lt;=01_Lease_Master!$AI$14,"PASS","CHECK")</f>
        <v>PASS</v>
      </c>
      <c r="M169" s="1" t="s">
        <v>126</v>
      </c>
    </row>
    <row r="170" customFormat="false" ht="15" hidden="false" customHeight="true" outlineLevel="0" collapsed="false">
      <c r="A170" s="1" t="s">
        <v>101</v>
      </c>
      <c r="B170" s="1" t="n">
        <v>0</v>
      </c>
      <c r="C170" s="1" t="n">
        <v>8</v>
      </c>
      <c r="D170" s="7" t="n">
        <v>46054</v>
      </c>
      <c r="E170" s="6" t="n">
        <f aca="false">IF(D170&gt;=20_Escalation_Schedule!$B$30,((20_Escalation_Schedule!$D$30)*EXP(0)+IF(D170&gt;=20_Escalation_Schedule!$B$31,20_Escalation_Schedule!$D$31*EXP(0),0)),((01_Lease_Master!$I$14)*EXP(0)))</f>
        <v>100000</v>
      </c>
      <c r="F170" s="1" t="s">
        <v>126</v>
      </c>
      <c r="G170" s="1" t="n">
        <f aca="false">D170-01_Lease_Master!$D$14</f>
        <v>245</v>
      </c>
      <c r="H170" s="1" t="n">
        <f aca="false">G170/365</f>
        <v>0.671232876712329</v>
      </c>
      <c r="I170" s="1" t="n">
        <f aca="false">01_Lease_Master!$P$14</f>
        <v>0.105</v>
      </c>
      <c r="J170" s="1" t="n">
        <f aca="false">IF(F170="NO",1,1/(1+I170)^H170)</f>
        <v>0.935176991937355</v>
      </c>
      <c r="K170" s="6" t="n">
        <f aca="false">IF(F170="NO",0,E170*J170)</f>
        <v>93517.6991937355</v>
      </c>
      <c r="L170" s="1" t="str">
        <f aca="false">IF(ABS(E170-E170)&lt;=01_Lease_Master!$AI$14,"PASS","CHECK")</f>
        <v>PASS</v>
      </c>
      <c r="M170" s="1" t="s">
        <v>126</v>
      </c>
    </row>
    <row r="171" customFormat="false" ht="15" hidden="false" customHeight="true" outlineLevel="0" collapsed="false">
      <c r="A171" s="1" t="s">
        <v>101</v>
      </c>
      <c r="B171" s="1" t="n">
        <v>0</v>
      </c>
      <c r="C171" s="1" t="n">
        <v>9</v>
      </c>
      <c r="D171" s="7" t="n">
        <v>46082</v>
      </c>
      <c r="E171" s="6" t="n">
        <f aca="false">IF(D171&gt;=20_Escalation_Schedule!$B$30,((20_Escalation_Schedule!$D$30)*EXP(0)+IF(D171&gt;=20_Escalation_Schedule!$B$31,20_Escalation_Schedule!$D$31*EXP(0),0)),((01_Lease_Master!$I$14)*EXP(0)))</f>
        <v>100000</v>
      </c>
      <c r="F171" s="1" t="s">
        <v>126</v>
      </c>
      <c r="G171" s="1" t="n">
        <f aca="false">D171-01_Lease_Master!$D$14</f>
        <v>273</v>
      </c>
      <c r="H171" s="1" t="n">
        <f aca="false">G171/365</f>
        <v>0.747945205479452</v>
      </c>
      <c r="I171" s="1" t="n">
        <f aca="false">01_Lease_Master!$P$14</f>
        <v>0.105</v>
      </c>
      <c r="J171" s="1" t="n">
        <f aca="false">IF(F171="NO",1,1/(1+I171)^H171)</f>
        <v>0.928041488666909</v>
      </c>
      <c r="K171" s="6" t="n">
        <f aca="false">IF(F171="NO",0,E171*J171)</f>
        <v>92804.1488666909</v>
      </c>
      <c r="L171" s="1" t="str">
        <f aca="false">IF(ABS(E171-E171)&lt;=01_Lease_Master!$AI$14,"PASS","CHECK")</f>
        <v>PASS</v>
      </c>
      <c r="M171" s="1" t="s">
        <v>126</v>
      </c>
    </row>
    <row r="172" customFormat="false" ht="15" hidden="false" customHeight="true" outlineLevel="0" collapsed="false">
      <c r="A172" s="1" t="s">
        <v>101</v>
      </c>
      <c r="B172" s="1" t="n">
        <v>0</v>
      </c>
      <c r="C172" s="1" t="n">
        <v>10</v>
      </c>
      <c r="D172" s="7" t="n">
        <v>46113</v>
      </c>
      <c r="E172" s="6" t="n">
        <f aca="false">IF(D172&gt;=20_Escalation_Schedule!$B$30,((20_Escalation_Schedule!$D$30)*EXP(0)+IF(D172&gt;=20_Escalation_Schedule!$B$31,20_Escalation_Schedule!$D$31*EXP(0),0)),((01_Lease_Master!$I$14)*EXP(0)))</f>
        <v>100000</v>
      </c>
      <c r="F172" s="1" t="s">
        <v>126</v>
      </c>
      <c r="G172" s="1" t="n">
        <f aca="false">D172-01_Lease_Master!$D$14</f>
        <v>304</v>
      </c>
      <c r="H172" s="1" t="n">
        <f aca="false">G172/365</f>
        <v>0.832876712328767</v>
      </c>
      <c r="I172" s="1" t="n">
        <f aca="false">01_Lease_Master!$P$14</f>
        <v>0.105</v>
      </c>
      <c r="J172" s="1" t="n">
        <f aca="false">IF(F172="NO",1,1/(1+I172)^H172)</f>
        <v>0.920204957066179</v>
      </c>
      <c r="K172" s="6" t="n">
        <f aca="false">IF(F172="NO",0,E172*J172)</f>
        <v>92020.4957066179</v>
      </c>
      <c r="L172" s="1" t="str">
        <f aca="false">IF(ABS(E172-E172)&lt;=01_Lease_Master!$AI$14,"PASS","CHECK")</f>
        <v>PASS</v>
      </c>
      <c r="M172" s="1" t="s">
        <v>126</v>
      </c>
    </row>
    <row r="173" customFormat="false" ht="15" hidden="false" customHeight="true" outlineLevel="0" collapsed="false">
      <c r="A173" s="1" t="s">
        <v>101</v>
      </c>
      <c r="B173" s="1" t="n">
        <v>0</v>
      </c>
      <c r="C173" s="1" t="n">
        <v>11</v>
      </c>
      <c r="D173" s="7" t="n">
        <v>46143</v>
      </c>
      <c r="E173" s="6" t="n">
        <f aca="false">IF(D173&gt;=20_Escalation_Schedule!$B$30,((20_Escalation_Schedule!$D$30)*EXP(0)+IF(D173&gt;=20_Escalation_Schedule!$B$31,20_Escalation_Schedule!$D$31*EXP(0),0)),((01_Lease_Master!$I$14)*EXP(0)))</f>
        <v>100000</v>
      </c>
      <c r="F173" s="1" t="s">
        <v>126</v>
      </c>
      <c r="G173" s="1" t="n">
        <f aca="false">D173-01_Lease_Master!$D$14</f>
        <v>334</v>
      </c>
      <c r="H173" s="1" t="n">
        <f aca="false">G173/365</f>
        <v>0.915068493150685</v>
      </c>
      <c r="I173" s="1" t="n">
        <f aca="false">01_Lease_Master!$P$14</f>
        <v>0.105</v>
      </c>
      <c r="J173" s="1" t="n">
        <f aca="false">IF(F173="NO",1,1/(1+I173)^H173)</f>
        <v>0.912684227987028</v>
      </c>
      <c r="K173" s="6" t="n">
        <f aca="false">IF(F173="NO",0,E173*J173)</f>
        <v>91268.4227987028</v>
      </c>
      <c r="L173" s="1" t="str">
        <f aca="false">IF(ABS(E173-E173)&lt;=01_Lease_Master!$AI$14,"PASS","CHECK")</f>
        <v>PASS</v>
      </c>
      <c r="M173" s="1" t="s">
        <v>126</v>
      </c>
    </row>
    <row r="174" customFormat="false" ht="15" hidden="false" customHeight="true" outlineLevel="0" collapsed="false">
      <c r="A174" s="1" t="s">
        <v>101</v>
      </c>
      <c r="B174" s="1" t="n">
        <v>0</v>
      </c>
      <c r="C174" s="1" t="n">
        <v>12</v>
      </c>
      <c r="D174" s="7" t="n">
        <v>46174</v>
      </c>
      <c r="E174" s="6" t="n">
        <f aca="false">IF(D174&gt;=20_Escalation_Schedule!$B$30,((20_Escalation_Schedule!$D$30)*EXP(0)+IF(D174&gt;=20_Escalation_Schedule!$B$31,20_Escalation_Schedule!$D$31*EXP(0),0)),((01_Lease_Master!$I$14)*EXP(0)))</f>
        <v>115000</v>
      </c>
      <c r="F174" s="1" t="s">
        <v>126</v>
      </c>
      <c r="G174" s="1" t="n">
        <f aca="false">D174-01_Lease_Master!$D$14</f>
        <v>365</v>
      </c>
      <c r="H174" s="1" t="n">
        <f aca="false">G174/365</f>
        <v>1</v>
      </c>
      <c r="I174" s="1" t="n">
        <f aca="false">01_Lease_Master!$P$14</f>
        <v>0.105</v>
      </c>
      <c r="J174" s="1" t="n">
        <f aca="false">IF(F174="NO",1,1/(1+I174)^H174)</f>
        <v>0.904977375565611</v>
      </c>
      <c r="K174" s="6" t="n">
        <f aca="false">IF(F174="NO",0,E174*J174)</f>
        <v>104072.398190045</v>
      </c>
      <c r="L174" s="1" t="str">
        <f aca="false">IF(ABS(E174-E174)&lt;=01_Lease_Master!$AI$14,"PASS","CHECK")</f>
        <v>PASS</v>
      </c>
      <c r="M174" s="1" t="s">
        <v>126</v>
      </c>
    </row>
    <row r="175" customFormat="false" ht="15" hidden="false" customHeight="true" outlineLevel="0" collapsed="false">
      <c r="A175" s="1" t="s">
        <v>101</v>
      </c>
      <c r="B175" s="1" t="n">
        <v>0</v>
      </c>
      <c r="C175" s="1" t="n">
        <v>13</v>
      </c>
      <c r="D175" s="7" t="n">
        <v>46204</v>
      </c>
      <c r="E175" s="6" t="n">
        <f aca="false">IF(D175&gt;=20_Escalation_Schedule!$B$30,((20_Escalation_Schedule!$D$30)*EXP(0)+IF(D175&gt;=20_Escalation_Schedule!$B$31,20_Escalation_Schedule!$D$31*EXP(0),0)),((01_Lease_Master!$I$14)*EXP(0)))</f>
        <v>115000</v>
      </c>
      <c r="F175" s="1" t="s">
        <v>126</v>
      </c>
      <c r="G175" s="1" t="n">
        <f aca="false">D175-01_Lease_Master!$D$14</f>
        <v>395</v>
      </c>
      <c r="H175" s="1" t="n">
        <f aca="false">G175/365</f>
        <v>1.08219178082192</v>
      </c>
      <c r="I175" s="1" t="n">
        <f aca="false">01_Lease_Master!$P$14</f>
        <v>0.105</v>
      </c>
      <c r="J175" s="1" t="n">
        <f aca="false">IF(F175="NO",1,1/(1+I175)^H175)</f>
        <v>0.897581099755394</v>
      </c>
      <c r="K175" s="6" t="n">
        <f aca="false">IF(F175="NO",0,E175*J175)</f>
        <v>103221.82647187</v>
      </c>
      <c r="L175" s="1" t="str">
        <f aca="false">IF(ABS(E175-E175)&lt;=01_Lease_Master!$AI$14,"PASS","CHECK")</f>
        <v>PASS</v>
      </c>
      <c r="M175" s="1" t="s">
        <v>126</v>
      </c>
    </row>
    <row r="176" customFormat="false" ht="15" hidden="false" customHeight="true" outlineLevel="0" collapsed="false">
      <c r="A176" s="1" t="s">
        <v>101</v>
      </c>
      <c r="B176" s="1" t="n">
        <v>0</v>
      </c>
      <c r="C176" s="1" t="n">
        <v>14</v>
      </c>
      <c r="D176" s="7" t="n">
        <v>46235</v>
      </c>
      <c r="E176" s="6" t="n">
        <f aca="false">IF(D176&gt;=20_Escalation_Schedule!$B$30,((20_Escalation_Schedule!$D$30)*EXP(0)+IF(D176&gt;=20_Escalation_Schedule!$B$31,20_Escalation_Schedule!$D$31*EXP(0),0)),((01_Lease_Master!$I$14)*EXP(0)))</f>
        <v>115000</v>
      </c>
      <c r="F176" s="1" t="s">
        <v>126</v>
      </c>
      <c r="G176" s="1" t="n">
        <f aca="false">D176-01_Lease_Master!$D$14</f>
        <v>426</v>
      </c>
      <c r="H176" s="1" t="n">
        <f aca="false">G176/365</f>
        <v>1.16712328767123</v>
      </c>
      <c r="I176" s="1" t="n">
        <f aca="false">01_Lease_Master!$P$14</f>
        <v>0.105</v>
      </c>
      <c r="J176" s="1" t="n">
        <f aca="false">IF(F176="NO",1,1/(1+I176)^H176)</f>
        <v>0.890001780578022</v>
      </c>
      <c r="K176" s="6" t="n">
        <f aca="false">IF(F176="NO",0,E176*J176)</f>
        <v>102350.204766472</v>
      </c>
      <c r="L176" s="1" t="str">
        <f aca="false">IF(ABS(E176-E176)&lt;=01_Lease_Master!$AI$14,"PASS","CHECK")</f>
        <v>PASS</v>
      </c>
      <c r="M176" s="1" t="s">
        <v>126</v>
      </c>
    </row>
    <row r="177" customFormat="false" ht="15" hidden="false" customHeight="true" outlineLevel="0" collapsed="false">
      <c r="A177" s="1" t="s">
        <v>101</v>
      </c>
      <c r="B177" s="1" t="n">
        <v>0</v>
      </c>
      <c r="C177" s="1" t="n">
        <v>15</v>
      </c>
      <c r="D177" s="7" t="n">
        <v>46266</v>
      </c>
      <c r="E177" s="6" t="n">
        <f aca="false">IF(D177&gt;=20_Escalation_Schedule!$B$30,((20_Escalation_Schedule!$D$30)*EXP(0)+IF(D177&gt;=20_Escalation_Schedule!$B$31,20_Escalation_Schedule!$D$31*EXP(0),0)),((01_Lease_Master!$I$14)*EXP(0)))</f>
        <v>115000</v>
      </c>
      <c r="F177" s="1" t="s">
        <v>126</v>
      </c>
      <c r="G177" s="1" t="n">
        <f aca="false">D177-01_Lease_Master!$D$14</f>
        <v>457</v>
      </c>
      <c r="H177" s="1" t="n">
        <f aca="false">G177/365</f>
        <v>1.25205479452055</v>
      </c>
      <c r="I177" s="1" t="n">
        <f aca="false">01_Lease_Master!$P$14</f>
        <v>0.105</v>
      </c>
      <c r="J177" s="1" t="n">
        <f aca="false">IF(F177="NO",1,1/(1+I177)^H177)</f>
        <v>0.882486462390874</v>
      </c>
      <c r="K177" s="6" t="n">
        <f aca="false">IF(F177="NO",0,E177*J177)</f>
        <v>101485.943174951</v>
      </c>
      <c r="L177" s="1" t="str">
        <f aca="false">IF(ABS(E177-E177)&lt;=01_Lease_Master!$AI$14,"PASS","CHECK")</f>
        <v>PASS</v>
      </c>
      <c r="M177" s="1" t="s">
        <v>126</v>
      </c>
    </row>
    <row r="178" customFormat="false" ht="15" hidden="false" customHeight="true" outlineLevel="0" collapsed="false">
      <c r="A178" s="1" t="s">
        <v>101</v>
      </c>
      <c r="B178" s="1" t="n">
        <v>0</v>
      </c>
      <c r="C178" s="1" t="n">
        <v>16</v>
      </c>
      <c r="D178" s="7" t="n">
        <v>46296</v>
      </c>
      <c r="E178" s="6" t="n">
        <f aca="false">IF(D178&gt;=20_Escalation_Schedule!$B$30,((20_Escalation_Schedule!$D$30)*EXP(0)+IF(D178&gt;=20_Escalation_Schedule!$B$31,20_Escalation_Schedule!$D$31*EXP(0),0)),((01_Lease_Master!$I$14)*EXP(0)))</f>
        <v>115000</v>
      </c>
      <c r="F178" s="1" t="s">
        <v>126</v>
      </c>
      <c r="G178" s="1" t="n">
        <f aca="false">D178-01_Lease_Master!$D$14</f>
        <v>487</v>
      </c>
      <c r="H178" s="1" t="n">
        <f aca="false">G178/365</f>
        <v>1.33424657534247</v>
      </c>
      <c r="I178" s="1" t="n">
        <f aca="false">01_Lease_Master!$P$14</f>
        <v>0.105</v>
      </c>
      <c r="J178" s="1" t="n">
        <f aca="false">IF(F178="NO",1,1/(1+I178)^H178)</f>
        <v>0.875274002222414</v>
      </c>
      <c r="K178" s="6" t="n">
        <f aca="false">IF(F178="NO",0,E178*J178)</f>
        <v>100656.510255578</v>
      </c>
      <c r="L178" s="1" t="str">
        <f aca="false">IF(ABS(E178-E178)&lt;=01_Lease_Master!$AI$14,"PASS","CHECK")</f>
        <v>PASS</v>
      </c>
      <c r="M178" s="1" t="s">
        <v>126</v>
      </c>
    </row>
    <row r="179" customFormat="false" ht="15" hidden="false" customHeight="true" outlineLevel="0" collapsed="false">
      <c r="A179" s="1" t="s">
        <v>101</v>
      </c>
      <c r="B179" s="1" t="n">
        <v>0</v>
      </c>
      <c r="C179" s="1" t="n">
        <v>17</v>
      </c>
      <c r="D179" s="7" t="n">
        <v>46327</v>
      </c>
      <c r="E179" s="6" t="n">
        <f aca="false">IF(D179&gt;=20_Escalation_Schedule!$B$30,((20_Escalation_Schedule!$D$30)*EXP(0)+IF(D179&gt;=20_Escalation_Schedule!$B$31,20_Escalation_Schedule!$D$31*EXP(0),0)),((01_Lease_Master!$I$14)*EXP(0)))</f>
        <v>115000</v>
      </c>
      <c r="F179" s="1" t="s">
        <v>126</v>
      </c>
      <c r="G179" s="1" t="n">
        <f aca="false">D179-01_Lease_Master!$D$14</f>
        <v>518</v>
      </c>
      <c r="H179" s="1" t="n">
        <f aca="false">G179/365</f>
        <v>1.41917808219178</v>
      </c>
      <c r="I179" s="1" t="n">
        <f aca="false">01_Lease_Master!$P$14</f>
        <v>0.105</v>
      </c>
      <c r="J179" s="1" t="n">
        <f aca="false">IF(F179="NO",1,1/(1+I179)^H179)</f>
        <v>0.867883047764584</v>
      </c>
      <c r="K179" s="6" t="n">
        <f aca="false">IF(F179="NO",0,E179*J179)</f>
        <v>99806.5504929272</v>
      </c>
      <c r="L179" s="1" t="str">
        <f aca="false">IF(ABS(E179-E179)&lt;=01_Lease_Master!$AI$14,"PASS","CHECK")</f>
        <v>PASS</v>
      </c>
      <c r="M179" s="1" t="s">
        <v>126</v>
      </c>
    </row>
    <row r="180" customFormat="false" ht="15" hidden="false" customHeight="true" outlineLevel="0" collapsed="false">
      <c r="A180" s="1" t="s">
        <v>101</v>
      </c>
      <c r="B180" s="1" t="n">
        <v>0</v>
      </c>
      <c r="C180" s="1" t="n">
        <v>18</v>
      </c>
      <c r="D180" s="7" t="n">
        <v>46357</v>
      </c>
      <c r="E180" s="6" t="n">
        <f aca="false">IF(D180&gt;=20_Escalation_Schedule!$B$30,((20_Escalation_Schedule!$D$30)*EXP(0)+IF(D180&gt;=20_Escalation_Schedule!$B$31,20_Escalation_Schedule!$D$31*EXP(0),0)),((01_Lease_Master!$I$14)*EXP(0)))</f>
        <v>115000</v>
      </c>
      <c r="F180" s="1" t="s">
        <v>126</v>
      </c>
      <c r="G180" s="1" t="n">
        <f aca="false">D180-01_Lease_Master!$D$14</f>
        <v>548</v>
      </c>
      <c r="H180" s="1" t="n">
        <f aca="false">G180/365</f>
        <v>1.5013698630137</v>
      </c>
      <c r="I180" s="1" t="n">
        <f aca="false">01_Lease_Master!$P$14</f>
        <v>0.105</v>
      </c>
      <c r="J180" s="1" t="n">
        <f aca="false">IF(F180="NO",1,1/(1+I180)^H180)</f>
        <v>0.860789939621117</v>
      </c>
      <c r="K180" s="6" t="n">
        <f aca="false">IF(F180="NO",0,E180*J180)</f>
        <v>98990.8430564285</v>
      </c>
      <c r="L180" s="1" t="str">
        <f aca="false">IF(ABS(E180-E180)&lt;=01_Lease_Master!$AI$14,"PASS","CHECK")</f>
        <v>PASS</v>
      </c>
      <c r="M180" s="1" t="s">
        <v>126</v>
      </c>
    </row>
    <row r="181" customFormat="false" ht="15" hidden="false" customHeight="true" outlineLevel="0" collapsed="false">
      <c r="A181" s="1" t="s">
        <v>101</v>
      </c>
      <c r="B181" s="1" t="n">
        <v>0</v>
      </c>
      <c r="C181" s="1" t="n">
        <v>19</v>
      </c>
      <c r="D181" s="7" t="n">
        <v>46388</v>
      </c>
      <c r="E181" s="6" t="n">
        <f aca="false">IF(D181&gt;=20_Escalation_Schedule!$B$30,((20_Escalation_Schedule!$D$30)*EXP(0)+IF(D181&gt;=20_Escalation_Schedule!$B$31,20_Escalation_Schedule!$D$31*EXP(0),0)),((01_Lease_Master!$I$14)*EXP(0)))</f>
        <v>115000</v>
      </c>
      <c r="F181" s="1" t="s">
        <v>126</v>
      </c>
      <c r="G181" s="1" t="n">
        <f aca="false">D181-01_Lease_Master!$D$14</f>
        <v>579</v>
      </c>
      <c r="H181" s="1" t="n">
        <f aca="false">G181/365</f>
        <v>1.58630136986301</v>
      </c>
      <c r="I181" s="1" t="n">
        <f aca="false">01_Lease_Master!$P$14</f>
        <v>0.105</v>
      </c>
      <c r="J181" s="1" t="n">
        <f aca="false">IF(F181="NO",1,1/(1+I181)^H181)</f>
        <v>0.853521290917576</v>
      </c>
      <c r="K181" s="6" t="n">
        <f aca="false">IF(F181="NO",0,E181*J181)</f>
        <v>98154.9484555212</v>
      </c>
      <c r="L181" s="1" t="str">
        <f aca="false">IF(ABS(E181-E181)&lt;=01_Lease_Master!$AI$14,"PASS","CHECK")</f>
        <v>PASS</v>
      </c>
      <c r="M181" s="1" t="s">
        <v>126</v>
      </c>
    </row>
    <row r="182" customFormat="false" ht="15" hidden="false" customHeight="true" outlineLevel="0" collapsed="false">
      <c r="A182" s="1" t="s">
        <v>101</v>
      </c>
      <c r="B182" s="1" t="n">
        <v>0</v>
      </c>
      <c r="C182" s="1" t="n">
        <v>20</v>
      </c>
      <c r="D182" s="7" t="n">
        <v>46419</v>
      </c>
      <c r="E182" s="6" t="n">
        <f aca="false">IF(D182&gt;=20_Escalation_Schedule!$B$30,((20_Escalation_Schedule!$D$30)*EXP(0)+IF(D182&gt;=20_Escalation_Schedule!$B$31,20_Escalation_Schedule!$D$31*EXP(0),0)),((01_Lease_Master!$I$14)*EXP(0)))</f>
        <v>115000</v>
      </c>
      <c r="F182" s="1" t="s">
        <v>126</v>
      </c>
      <c r="G182" s="1" t="n">
        <f aca="false">D182-01_Lease_Master!$D$14</f>
        <v>610</v>
      </c>
      <c r="H182" s="1" t="n">
        <f aca="false">G182/365</f>
        <v>1.67123287671233</v>
      </c>
      <c r="I182" s="1" t="n">
        <f aca="false">01_Lease_Master!$P$14</f>
        <v>0.105</v>
      </c>
      <c r="J182" s="1" t="n">
        <f aca="false">IF(F182="NO",1,1/(1+I182)^H182)</f>
        <v>0.84631401985281</v>
      </c>
      <c r="K182" s="6" t="n">
        <f aca="false">IF(F182="NO",0,E182*J182)</f>
        <v>97326.1122830732</v>
      </c>
      <c r="L182" s="1" t="str">
        <f aca="false">IF(ABS(E182-E182)&lt;=01_Lease_Master!$AI$14,"PASS","CHECK")</f>
        <v>PASS</v>
      </c>
      <c r="M182" s="1" t="s">
        <v>126</v>
      </c>
    </row>
    <row r="183" customFormat="false" ht="15" hidden="false" customHeight="true" outlineLevel="0" collapsed="false">
      <c r="A183" s="1" t="s">
        <v>101</v>
      </c>
      <c r="B183" s="1" t="n">
        <v>0</v>
      </c>
      <c r="C183" s="1" t="n">
        <v>21</v>
      </c>
      <c r="D183" s="7" t="n">
        <v>46447</v>
      </c>
      <c r="E183" s="6" t="n">
        <f aca="false">IF(D183&gt;=20_Escalation_Schedule!$B$30,((20_Escalation_Schedule!$D$30)*EXP(0)+IF(D183&gt;=20_Escalation_Schedule!$B$31,20_Escalation_Schedule!$D$31*EXP(0),0)),((01_Lease_Master!$I$14)*EXP(0)))</f>
        <v>115000</v>
      </c>
      <c r="F183" s="1" t="s">
        <v>126</v>
      </c>
      <c r="G183" s="1" t="n">
        <f aca="false">D183-01_Lease_Master!$D$14</f>
        <v>638</v>
      </c>
      <c r="H183" s="1" t="n">
        <f aca="false">G183/365</f>
        <v>1.74794520547945</v>
      </c>
      <c r="I183" s="1" t="n">
        <f aca="false">01_Lease_Master!$P$14</f>
        <v>0.105</v>
      </c>
      <c r="J183" s="1" t="n">
        <f aca="false">IF(F183="NO",1,1/(1+I183)^H183)</f>
        <v>0.839856550829782</v>
      </c>
      <c r="K183" s="6" t="n">
        <f aca="false">IF(F183="NO",0,E183*J183)</f>
        <v>96583.5033454249</v>
      </c>
      <c r="L183" s="1" t="str">
        <f aca="false">IF(ABS(E183-E183)&lt;=01_Lease_Master!$AI$14,"PASS","CHECK")</f>
        <v>PASS</v>
      </c>
      <c r="M183" s="1" t="s">
        <v>126</v>
      </c>
    </row>
    <row r="184" customFormat="false" ht="15" hidden="false" customHeight="true" outlineLevel="0" collapsed="false">
      <c r="A184" s="1" t="s">
        <v>101</v>
      </c>
      <c r="B184" s="1" t="n">
        <v>0</v>
      </c>
      <c r="C184" s="1" t="n">
        <v>22</v>
      </c>
      <c r="D184" s="7" t="n">
        <v>46478</v>
      </c>
      <c r="E184" s="6" t="n">
        <f aca="false">IF(D184&gt;=20_Escalation_Schedule!$B$30,((20_Escalation_Schedule!$D$30)*EXP(0)+IF(D184&gt;=20_Escalation_Schedule!$B$31,20_Escalation_Schedule!$D$31*EXP(0),0)),((01_Lease_Master!$I$14)*EXP(0)))</f>
        <v>115000</v>
      </c>
      <c r="F184" s="1" t="s">
        <v>126</v>
      </c>
      <c r="G184" s="1" t="n">
        <f aca="false">D184-01_Lease_Master!$D$14</f>
        <v>669</v>
      </c>
      <c r="H184" s="1" t="n">
        <f aca="false">G184/365</f>
        <v>1.83287671232877</v>
      </c>
      <c r="I184" s="1" t="n">
        <f aca="false">01_Lease_Master!$P$14</f>
        <v>0.105</v>
      </c>
      <c r="J184" s="1" t="n">
        <f aca="false">IF(F184="NO",1,1/(1+I184)^H184)</f>
        <v>0.832764667028216</v>
      </c>
      <c r="K184" s="6" t="n">
        <f aca="false">IF(F184="NO",0,E184*J184)</f>
        <v>95767.9367082448</v>
      </c>
      <c r="L184" s="1" t="str">
        <f aca="false">IF(ABS(E184-E184)&lt;=01_Lease_Master!$AI$14,"PASS","CHECK")</f>
        <v>PASS</v>
      </c>
      <c r="M184" s="1" t="s">
        <v>126</v>
      </c>
    </row>
    <row r="185" customFormat="false" ht="15" hidden="false" customHeight="true" outlineLevel="0" collapsed="false">
      <c r="A185" s="1" t="s">
        <v>101</v>
      </c>
      <c r="B185" s="1" t="n">
        <v>0</v>
      </c>
      <c r="C185" s="1" t="n">
        <v>23</v>
      </c>
      <c r="D185" s="7" t="n">
        <v>46508</v>
      </c>
      <c r="E185" s="6" t="n">
        <f aca="false">IF(D185&gt;=20_Escalation_Schedule!$B$30,((20_Escalation_Schedule!$D$30)*EXP(0)+IF(D185&gt;=20_Escalation_Schedule!$B$31,20_Escalation_Schedule!$D$31*EXP(0),0)),((01_Lease_Master!$I$14)*EXP(0)))</f>
        <v>115000</v>
      </c>
      <c r="F185" s="1" t="s">
        <v>126</v>
      </c>
      <c r="G185" s="1" t="n">
        <f aca="false">D185-01_Lease_Master!$D$14</f>
        <v>699</v>
      </c>
      <c r="H185" s="1" t="n">
        <f aca="false">G185/365</f>
        <v>1.91506849315069</v>
      </c>
      <c r="I185" s="1" t="n">
        <f aca="false">01_Lease_Master!$P$14</f>
        <v>0.105</v>
      </c>
      <c r="J185" s="1" t="n">
        <f aca="false">IF(F185="NO",1,1/(1+I185)^H185)</f>
        <v>0.825958577363826</v>
      </c>
      <c r="K185" s="6" t="n">
        <f aca="false">IF(F185="NO",0,E185*J185)</f>
        <v>94985.23639684</v>
      </c>
      <c r="L185" s="1" t="str">
        <f aca="false">IF(ABS(E185-E185)&lt;=01_Lease_Master!$AI$14,"PASS","CHECK")</f>
        <v>PASS</v>
      </c>
      <c r="M185" s="1" t="s">
        <v>126</v>
      </c>
    </row>
    <row r="186" customFormat="false" ht="15" hidden="false" customHeight="true" outlineLevel="0" collapsed="false">
      <c r="A186" s="1" t="s">
        <v>101</v>
      </c>
      <c r="B186" s="1" t="n">
        <v>0</v>
      </c>
      <c r="C186" s="1" t="n">
        <v>24</v>
      </c>
      <c r="D186" s="7" t="n">
        <v>46539</v>
      </c>
      <c r="E186" s="6" t="n">
        <f aca="false">IF(D186&gt;=20_Escalation_Schedule!$B$30,((20_Escalation_Schedule!$D$30)*EXP(0)+IF(D186&gt;=20_Escalation_Schedule!$B$31,20_Escalation_Schedule!$D$31*EXP(0),0)),((01_Lease_Master!$I$14)*EXP(0)))</f>
        <v>125000</v>
      </c>
      <c r="F186" s="1" t="s">
        <v>126</v>
      </c>
      <c r="G186" s="1" t="n">
        <f aca="false">D186-01_Lease_Master!$D$14</f>
        <v>730</v>
      </c>
      <c r="H186" s="1" t="n">
        <f aca="false">G186/365</f>
        <v>2</v>
      </c>
      <c r="I186" s="1" t="n">
        <f aca="false">01_Lease_Master!$P$14</f>
        <v>0.105</v>
      </c>
      <c r="J186" s="1" t="n">
        <f aca="false">IF(F186="NO",1,1/(1+I186)^H186)</f>
        <v>0.818984050285621</v>
      </c>
      <c r="K186" s="6" t="n">
        <f aca="false">IF(F186="NO",0,E186*J186)</f>
        <v>102373.006285703</v>
      </c>
      <c r="L186" s="1" t="str">
        <f aca="false">IF(ABS(E186-E186)&lt;=01_Lease_Master!$AI$14,"PASS","CHECK")</f>
        <v>PASS</v>
      </c>
      <c r="M186" s="1" t="s">
        <v>126</v>
      </c>
    </row>
    <row r="187" customFormat="false" ht="15" hidden="false" customHeight="true" outlineLevel="0" collapsed="false">
      <c r="A187" s="1" t="s">
        <v>101</v>
      </c>
      <c r="B187" s="1" t="n">
        <v>0</v>
      </c>
      <c r="C187" s="1" t="n">
        <v>25</v>
      </c>
      <c r="D187" s="7" t="n">
        <v>46569</v>
      </c>
      <c r="E187" s="6" t="n">
        <f aca="false">IF(D187&gt;=20_Escalation_Schedule!$B$30,((20_Escalation_Schedule!$D$30)*EXP(0)+IF(D187&gt;=20_Escalation_Schedule!$B$31,20_Escalation_Schedule!$D$31*EXP(0),0)),((01_Lease_Master!$I$14)*EXP(0)))</f>
        <v>125000</v>
      </c>
      <c r="F187" s="1" t="s">
        <v>126</v>
      </c>
      <c r="G187" s="1" t="n">
        <f aca="false">D187-01_Lease_Master!$D$14</f>
        <v>760</v>
      </c>
      <c r="H187" s="1" t="n">
        <f aca="false">G187/365</f>
        <v>2.08219178082192</v>
      </c>
      <c r="I187" s="1" t="n">
        <f aca="false">01_Lease_Master!$P$14</f>
        <v>0.105</v>
      </c>
      <c r="J187" s="1" t="n">
        <f aca="false">IF(F187="NO",1,1/(1+I187)^H187)</f>
        <v>0.812290588013932</v>
      </c>
      <c r="K187" s="6" t="n">
        <f aca="false">IF(F187="NO",0,E187*J187)</f>
        <v>101536.323501741</v>
      </c>
      <c r="L187" s="1" t="str">
        <f aca="false">IF(ABS(E187-E187)&lt;=01_Lease_Master!$AI$14,"PASS","CHECK")</f>
        <v>PASS</v>
      </c>
      <c r="M187" s="1" t="s">
        <v>126</v>
      </c>
    </row>
    <row r="188" customFormat="false" ht="15" hidden="false" customHeight="true" outlineLevel="0" collapsed="false">
      <c r="A188" s="1" t="s">
        <v>101</v>
      </c>
      <c r="B188" s="1" t="n">
        <v>0</v>
      </c>
      <c r="C188" s="1" t="n">
        <v>26</v>
      </c>
      <c r="D188" s="7" t="n">
        <v>46600</v>
      </c>
      <c r="E188" s="6" t="n">
        <f aca="false">IF(D188&gt;=20_Escalation_Schedule!$B$30,((20_Escalation_Schedule!$D$30)*EXP(0)+IF(D188&gt;=20_Escalation_Schedule!$B$31,20_Escalation_Schedule!$D$31*EXP(0),0)),((01_Lease_Master!$I$14)*EXP(0)))</f>
        <v>125000</v>
      </c>
      <c r="F188" s="1" t="s">
        <v>126</v>
      </c>
      <c r="G188" s="1" t="n">
        <f aca="false">D188-01_Lease_Master!$D$14</f>
        <v>791</v>
      </c>
      <c r="H188" s="1" t="n">
        <f aca="false">G188/365</f>
        <v>2.16712328767123</v>
      </c>
      <c r="I188" s="1" t="n">
        <f aca="false">01_Lease_Master!$P$14</f>
        <v>0.105</v>
      </c>
      <c r="J188" s="1" t="n">
        <f aca="false">IF(F188="NO",1,1/(1+I188)^H188)</f>
        <v>0.805431475636219</v>
      </c>
      <c r="K188" s="6" t="n">
        <f aca="false">IF(F188="NO",0,E188*J188)</f>
        <v>100678.934454527</v>
      </c>
      <c r="L188" s="1" t="str">
        <f aca="false">IF(ABS(E188-E188)&lt;=01_Lease_Master!$AI$14,"PASS","CHECK")</f>
        <v>PASS</v>
      </c>
      <c r="M188" s="1" t="s">
        <v>126</v>
      </c>
    </row>
    <row r="189" customFormat="false" ht="15" hidden="false" customHeight="true" outlineLevel="0" collapsed="false">
      <c r="A189" s="1" t="s">
        <v>101</v>
      </c>
      <c r="B189" s="1" t="n">
        <v>0</v>
      </c>
      <c r="C189" s="1" t="n">
        <v>27</v>
      </c>
      <c r="D189" s="7" t="n">
        <v>46631</v>
      </c>
      <c r="E189" s="6" t="n">
        <f aca="false">IF(D189&gt;=20_Escalation_Schedule!$B$30,((20_Escalation_Schedule!$D$30)*EXP(0)+IF(D189&gt;=20_Escalation_Schedule!$B$31,20_Escalation_Schedule!$D$31*EXP(0),0)),((01_Lease_Master!$I$14)*EXP(0)))</f>
        <v>125000</v>
      </c>
      <c r="F189" s="1" t="s">
        <v>126</v>
      </c>
      <c r="G189" s="1" t="n">
        <f aca="false">D189-01_Lease_Master!$D$14</f>
        <v>822</v>
      </c>
      <c r="H189" s="1" t="n">
        <f aca="false">G189/365</f>
        <v>2.25205479452055</v>
      </c>
      <c r="I189" s="1" t="n">
        <f aca="false">01_Lease_Master!$P$14</f>
        <v>0.105</v>
      </c>
      <c r="J189" s="1" t="n">
        <f aca="false">IF(F189="NO",1,1/(1+I189)^H189)</f>
        <v>0.798630282706674</v>
      </c>
      <c r="K189" s="6" t="n">
        <f aca="false">IF(F189="NO",0,E189*J189)</f>
        <v>99828.7853383342</v>
      </c>
      <c r="L189" s="1" t="str">
        <f aca="false">IF(ABS(E189-E189)&lt;=01_Lease_Master!$AI$14,"PASS","CHECK")</f>
        <v>PASS</v>
      </c>
      <c r="M189" s="1" t="s">
        <v>126</v>
      </c>
    </row>
    <row r="190" customFormat="false" ht="15" hidden="false" customHeight="true" outlineLevel="0" collapsed="false">
      <c r="A190" s="1" t="s">
        <v>101</v>
      </c>
      <c r="B190" s="1" t="n">
        <v>0</v>
      </c>
      <c r="C190" s="1" t="n">
        <v>28</v>
      </c>
      <c r="D190" s="7" t="n">
        <v>46661</v>
      </c>
      <c r="E190" s="6" t="n">
        <f aca="false">IF(D190&gt;=20_Escalation_Schedule!$B$30,((20_Escalation_Schedule!$D$30)*EXP(0)+IF(D190&gt;=20_Escalation_Schedule!$B$31,20_Escalation_Schedule!$D$31*EXP(0),0)),((01_Lease_Master!$I$14)*EXP(0)))</f>
        <v>125000</v>
      </c>
      <c r="F190" s="1" t="s">
        <v>126</v>
      </c>
      <c r="G190" s="1" t="n">
        <f aca="false">D190-01_Lease_Master!$D$14</f>
        <v>852</v>
      </c>
      <c r="H190" s="1" t="n">
        <f aca="false">G190/365</f>
        <v>2.33424657534247</v>
      </c>
      <c r="I190" s="1" t="n">
        <f aca="false">01_Lease_Master!$P$14</f>
        <v>0.105</v>
      </c>
      <c r="J190" s="1" t="n">
        <f aca="false">IF(F190="NO",1,1/(1+I190)^H190)</f>
        <v>0.792103169432049</v>
      </c>
      <c r="K190" s="6" t="n">
        <f aca="false">IF(F190="NO",0,E190*J190)</f>
        <v>99012.8961790061</v>
      </c>
      <c r="L190" s="1" t="str">
        <f aca="false">IF(ABS(E190-E190)&lt;=01_Lease_Master!$AI$14,"PASS","CHECK")</f>
        <v>PASS</v>
      </c>
      <c r="M190" s="1" t="s">
        <v>126</v>
      </c>
    </row>
    <row r="191" customFormat="false" ht="15" hidden="false" customHeight="true" outlineLevel="0" collapsed="false">
      <c r="A191" s="1" t="s">
        <v>101</v>
      </c>
      <c r="B191" s="1" t="n">
        <v>0</v>
      </c>
      <c r="C191" s="1" t="n">
        <v>29</v>
      </c>
      <c r="D191" s="7" t="n">
        <v>46692</v>
      </c>
      <c r="E191" s="6" t="n">
        <f aca="false">IF(D191&gt;=20_Escalation_Schedule!$B$30,((20_Escalation_Schedule!$D$30)*EXP(0)+IF(D191&gt;=20_Escalation_Schedule!$B$31,20_Escalation_Schedule!$D$31*EXP(0),0)),((01_Lease_Master!$I$14)*EXP(0)))</f>
        <v>125000</v>
      </c>
      <c r="F191" s="1" t="s">
        <v>126</v>
      </c>
      <c r="G191" s="1" t="n">
        <f aca="false">D191-01_Lease_Master!$D$14</f>
        <v>883</v>
      </c>
      <c r="H191" s="1" t="n">
        <f aca="false">G191/365</f>
        <v>2.41917808219178</v>
      </c>
      <c r="I191" s="1" t="n">
        <f aca="false">01_Lease_Master!$P$14</f>
        <v>0.105</v>
      </c>
      <c r="J191" s="1" t="n">
        <f aca="false">IF(F191="NO",1,1/(1+I191)^H191)</f>
        <v>0.785414522863877</v>
      </c>
      <c r="K191" s="6" t="n">
        <f aca="false">IF(F191="NO",0,E191*J191)</f>
        <v>98176.8153579847</v>
      </c>
      <c r="L191" s="1" t="str">
        <f aca="false">IF(ABS(E191-E191)&lt;=01_Lease_Master!$AI$14,"PASS","CHECK")</f>
        <v>PASS</v>
      </c>
      <c r="M191" s="1" t="s">
        <v>126</v>
      </c>
    </row>
    <row r="192" customFormat="false" ht="15" hidden="false" customHeight="true" outlineLevel="0" collapsed="false">
      <c r="A192" s="1" t="s">
        <v>101</v>
      </c>
      <c r="B192" s="1" t="n">
        <v>0</v>
      </c>
      <c r="C192" s="1" t="n">
        <v>30</v>
      </c>
      <c r="D192" s="7" t="n">
        <v>46722</v>
      </c>
      <c r="E192" s="6" t="n">
        <f aca="false">IF(D192&gt;=20_Escalation_Schedule!$B$30,((20_Escalation_Schedule!$D$30)*EXP(0)+IF(D192&gt;=20_Escalation_Schedule!$B$31,20_Escalation_Schedule!$D$31*EXP(0),0)),((01_Lease_Master!$I$14)*EXP(0)))</f>
        <v>125000</v>
      </c>
      <c r="F192" s="1" t="s">
        <v>126</v>
      </c>
      <c r="G192" s="1" t="n">
        <f aca="false">D192-01_Lease_Master!$D$14</f>
        <v>913</v>
      </c>
      <c r="H192" s="1" t="n">
        <f aca="false">G192/365</f>
        <v>2.5013698630137</v>
      </c>
      <c r="I192" s="1" t="n">
        <f aca="false">01_Lease_Master!$P$14</f>
        <v>0.105</v>
      </c>
      <c r="J192" s="1" t="n">
        <f aca="false">IF(F192="NO",1,1/(1+I192)^H192)</f>
        <v>0.778995420471599</v>
      </c>
      <c r="K192" s="6" t="n">
        <f aca="false">IF(F192="NO",0,E192*J192)</f>
        <v>97374.4275589499</v>
      </c>
      <c r="L192" s="1" t="str">
        <f aca="false">IF(ABS(E192-E192)&lt;=01_Lease_Master!$AI$14,"PASS","CHECK")</f>
        <v>PASS</v>
      </c>
      <c r="M192" s="1" t="s">
        <v>126</v>
      </c>
    </row>
    <row r="193" customFormat="false" ht="15" hidden="false" customHeight="true" outlineLevel="0" collapsed="false">
      <c r="A193" s="1" t="s">
        <v>101</v>
      </c>
      <c r="B193" s="1" t="n">
        <v>0</v>
      </c>
      <c r="C193" s="1" t="n">
        <v>31</v>
      </c>
      <c r="D193" s="7" t="n">
        <v>46753</v>
      </c>
      <c r="E193" s="6" t="n">
        <f aca="false">IF(D193&gt;=20_Escalation_Schedule!$B$30,((20_Escalation_Schedule!$D$30)*EXP(0)+IF(D193&gt;=20_Escalation_Schedule!$B$31,20_Escalation_Schedule!$D$31*EXP(0),0)),((01_Lease_Master!$I$14)*EXP(0)))</f>
        <v>125000</v>
      </c>
      <c r="F193" s="1" t="s">
        <v>126</v>
      </c>
      <c r="G193" s="1" t="n">
        <f aca="false">D193-01_Lease_Master!$D$14</f>
        <v>944</v>
      </c>
      <c r="H193" s="1" t="n">
        <f aca="false">G193/365</f>
        <v>2.58630136986301</v>
      </c>
      <c r="I193" s="1" t="n">
        <f aca="false">01_Lease_Master!$P$14</f>
        <v>0.105</v>
      </c>
      <c r="J193" s="1" t="n">
        <f aca="false">IF(F193="NO",1,1/(1+I193)^H193)</f>
        <v>0.77241745784396</v>
      </c>
      <c r="K193" s="6" t="n">
        <f aca="false">IF(F193="NO",0,E193*J193)</f>
        <v>96552.182230495</v>
      </c>
      <c r="L193" s="1" t="str">
        <f aca="false">IF(ABS(E193-E193)&lt;=01_Lease_Master!$AI$14,"PASS","CHECK")</f>
        <v>PASS</v>
      </c>
      <c r="M193" s="1" t="s">
        <v>126</v>
      </c>
    </row>
    <row r="194" customFormat="false" ht="15" hidden="false" customHeight="true" outlineLevel="0" collapsed="false">
      <c r="A194" s="1" t="s">
        <v>101</v>
      </c>
      <c r="B194" s="1" t="n">
        <v>0</v>
      </c>
      <c r="C194" s="1" t="n">
        <v>32</v>
      </c>
      <c r="D194" s="7" t="n">
        <v>46784</v>
      </c>
      <c r="E194" s="6" t="n">
        <f aca="false">IF(D194&gt;=20_Escalation_Schedule!$B$30,((20_Escalation_Schedule!$D$30)*EXP(0)+IF(D194&gt;=20_Escalation_Schedule!$B$31,20_Escalation_Schedule!$D$31*EXP(0),0)),((01_Lease_Master!$I$14)*EXP(0)))</f>
        <v>125000</v>
      </c>
      <c r="F194" s="1" t="s">
        <v>126</v>
      </c>
      <c r="G194" s="1" t="n">
        <f aca="false">D194-01_Lease_Master!$D$14</f>
        <v>975</v>
      </c>
      <c r="H194" s="1" t="n">
        <f aca="false">G194/365</f>
        <v>2.67123287671233</v>
      </c>
      <c r="I194" s="1" t="n">
        <f aca="false">01_Lease_Master!$P$14</f>
        <v>0.105</v>
      </c>
      <c r="J194" s="1" t="n">
        <f aca="false">IF(F194="NO",1,1/(1+I194)^H194)</f>
        <v>0.765895040590778</v>
      </c>
      <c r="K194" s="6" t="n">
        <f aca="false">IF(F194="NO",0,E194*J194)</f>
        <v>95736.8800738473</v>
      </c>
      <c r="L194" s="1" t="str">
        <f aca="false">IF(ABS(E194-E194)&lt;=01_Lease_Master!$AI$14,"PASS","CHECK")</f>
        <v>PASS</v>
      </c>
      <c r="M194" s="1" t="s">
        <v>126</v>
      </c>
    </row>
    <row r="195" customFormat="false" ht="15" hidden="false" customHeight="true" outlineLevel="0" collapsed="false">
      <c r="A195" s="1" t="s">
        <v>101</v>
      </c>
      <c r="B195" s="1" t="n">
        <v>0</v>
      </c>
      <c r="C195" s="1" t="n">
        <v>33</v>
      </c>
      <c r="D195" s="7" t="n">
        <v>46813</v>
      </c>
      <c r="E195" s="6" t="n">
        <f aca="false">IF(D195&gt;=20_Escalation_Schedule!$B$30,((20_Escalation_Schedule!$D$30)*EXP(0)+IF(D195&gt;=20_Escalation_Schedule!$B$31,20_Escalation_Schedule!$D$31*EXP(0),0)),((01_Lease_Master!$I$14)*EXP(0)))</f>
        <v>125000</v>
      </c>
      <c r="F195" s="1" t="s">
        <v>126</v>
      </c>
      <c r="G195" s="1" t="n">
        <f aca="false">D195-01_Lease_Master!$D$14</f>
        <v>1004</v>
      </c>
      <c r="H195" s="1" t="n">
        <f aca="false">G195/365</f>
        <v>2.75068493150685</v>
      </c>
      <c r="I195" s="1" t="n">
        <f aca="false">01_Lease_Master!$P$14</f>
        <v>0.105</v>
      </c>
      <c r="J195" s="1" t="n">
        <f aca="false">IF(F195="NO",1,1/(1+I195)^H195)</f>
        <v>0.759843294520558</v>
      </c>
      <c r="K195" s="6" t="n">
        <f aca="false">IF(F195="NO",0,E195*J195)</f>
        <v>94980.4118150698</v>
      </c>
      <c r="L195" s="1" t="str">
        <f aca="false">IF(ABS(E195-E195)&lt;=01_Lease_Master!$AI$14,"PASS","CHECK")</f>
        <v>PASS</v>
      </c>
      <c r="M195" s="1" t="s">
        <v>126</v>
      </c>
    </row>
    <row r="196" customFormat="false" ht="15" hidden="false" customHeight="true" outlineLevel="0" collapsed="false">
      <c r="A196" s="1" t="s">
        <v>101</v>
      </c>
      <c r="B196" s="1" t="n">
        <v>0</v>
      </c>
      <c r="C196" s="1" t="n">
        <v>34</v>
      </c>
      <c r="D196" s="7" t="n">
        <v>46844</v>
      </c>
      <c r="E196" s="6" t="n">
        <f aca="false">IF(D196&gt;=20_Escalation_Schedule!$B$30,((20_Escalation_Schedule!$D$30)*EXP(0)+IF(D196&gt;=20_Escalation_Schedule!$B$31,20_Escalation_Schedule!$D$31*EXP(0),0)),((01_Lease_Master!$I$14)*EXP(0)))</f>
        <v>125000</v>
      </c>
      <c r="F196" s="1" t="s">
        <v>126</v>
      </c>
      <c r="G196" s="1" t="n">
        <f aca="false">D196-01_Lease_Master!$D$14</f>
        <v>1035</v>
      </c>
      <c r="H196" s="1" t="n">
        <f aca="false">G196/365</f>
        <v>2.83561643835616</v>
      </c>
      <c r="I196" s="1" t="n">
        <f aca="false">01_Lease_Master!$P$14</f>
        <v>0.105</v>
      </c>
      <c r="J196" s="1" t="n">
        <f aca="false">IF(F196="NO",1,1/(1+I196)^H196)</f>
        <v>0.753427055524965</v>
      </c>
      <c r="K196" s="6" t="n">
        <f aca="false">IF(F196="NO",0,E196*J196)</f>
        <v>94178.3819406206</v>
      </c>
      <c r="L196" s="1" t="str">
        <f aca="false">IF(ABS(E196-E196)&lt;=01_Lease_Master!$AI$14,"PASS","CHECK")</f>
        <v>PASS</v>
      </c>
      <c r="M196" s="1" t="s">
        <v>126</v>
      </c>
    </row>
    <row r="197" customFormat="false" ht="15" hidden="false" customHeight="true" outlineLevel="0" collapsed="false">
      <c r="A197" s="1" t="s">
        <v>101</v>
      </c>
      <c r="B197" s="1" t="n">
        <v>0</v>
      </c>
      <c r="C197" s="1" t="n">
        <v>35</v>
      </c>
      <c r="D197" s="7" t="n">
        <v>46874</v>
      </c>
      <c r="E197" s="6" t="n">
        <f aca="false">IF(D197&gt;=20_Escalation_Schedule!$B$30,((20_Escalation_Schedule!$D$30)*EXP(0)+IF(D197&gt;=20_Escalation_Schedule!$B$31,20_Escalation_Schedule!$D$31*EXP(0),0)),((01_Lease_Master!$I$14)*EXP(0)))</f>
        <v>125000</v>
      </c>
      <c r="F197" s="1" t="s">
        <v>126</v>
      </c>
      <c r="G197" s="1" t="n">
        <f aca="false">D197-01_Lease_Master!$D$14</f>
        <v>1065</v>
      </c>
      <c r="H197" s="1" t="n">
        <f aca="false">G197/365</f>
        <v>2.91780821917808</v>
      </c>
      <c r="I197" s="1" t="n">
        <f aca="false">01_Lease_Master!$P$14</f>
        <v>0.105</v>
      </c>
      <c r="J197" s="1" t="n">
        <f aca="false">IF(F197="NO",1,1/(1+I197)^H197)</f>
        <v>0.747269383017341</v>
      </c>
      <c r="K197" s="6" t="n">
        <f aca="false">IF(F197="NO",0,E197*J197)</f>
        <v>93408.6728771676</v>
      </c>
      <c r="L197" s="1" t="str">
        <f aca="false">IF(ABS(E197-E197)&lt;=01_Lease_Master!$AI$14,"PASS","CHECK")</f>
        <v>PASS</v>
      </c>
      <c r="M197" s="1" t="s">
        <v>126</v>
      </c>
    </row>
    <row r="198" customFormat="false" ht="15" hidden="false" customHeight="true" outlineLevel="0" collapsed="false">
      <c r="A198" s="1" t="s">
        <v>101</v>
      </c>
      <c r="B198" s="1" t="n">
        <v>0</v>
      </c>
      <c r="C198" s="1" t="n">
        <v>36</v>
      </c>
      <c r="D198" s="7" t="n">
        <v>46905</v>
      </c>
      <c r="E198" s="6" t="n">
        <f aca="false">IF(D198&gt;=20_Escalation_Schedule!$B$30,((20_Escalation_Schedule!$D$30)*EXP(0)+IF(D198&gt;=20_Escalation_Schedule!$B$31,20_Escalation_Schedule!$D$31*EXP(0),0)),((01_Lease_Master!$I$14)*EXP(0)))</f>
        <v>125000</v>
      </c>
      <c r="F198" s="1" t="s">
        <v>126</v>
      </c>
      <c r="G198" s="1" t="n">
        <f aca="false">D198-01_Lease_Master!$D$14</f>
        <v>1096</v>
      </c>
      <c r="H198" s="1" t="n">
        <f aca="false">G198/365</f>
        <v>3.0027397260274</v>
      </c>
      <c r="I198" s="1" t="n">
        <f aca="false">01_Lease_Master!$P$14</f>
        <v>0.105</v>
      </c>
      <c r="J198" s="1" t="n">
        <f aca="false">IF(F198="NO",1,1/(1+I198)^H198)</f>
        <v>0.740959320152926</v>
      </c>
      <c r="K198" s="6" t="n">
        <f aca="false">IF(F198="NO",0,E198*J198)</f>
        <v>92619.9150191158</v>
      </c>
      <c r="L198" s="1" t="str">
        <f aca="false">IF(ABS(E198-E198)&lt;=01_Lease_Master!$AI$14,"PASS","CHECK")</f>
        <v>PASS</v>
      </c>
      <c r="M198" s="1" t="s">
        <v>126</v>
      </c>
    </row>
    <row r="199" customFormat="false" ht="15" hidden="false" customHeight="true" outlineLevel="0" collapsed="false">
      <c r="A199" s="1" t="s">
        <v>101</v>
      </c>
      <c r="B199" s="1" t="n">
        <v>0</v>
      </c>
      <c r="C199" s="1" t="n">
        <v>37</v>
      </c>
      <c r="D199" s="7" t="n">
        <v>46935</v>
      </c>
      <c r="E199" s="6" t="n">
        <f aca="false">IF(D199&gt;=20_Escalation_Schedule!$B$30,((20_Escalation_Schedule!$D$30)*EXP(0)+IF(D199&gt;=20_Escalation_Schedule!$B$31,20_Escalation_Schedule!$D$31*EXP(0),0)),((01_Lease_Master!$I$14)*EXP(0)))</f>
        <v>125000</v>
      </c>
      <c r="F199" s="1" t="s">
        <v>126</v>
      </c>
      <c r="G199" s="1" t="n">
        <f aca="false">D199-01_Lease_Master!$D$14</f>
        <v>1126</v>
      </c>
      <c r="H199" s="1" t="n">
        <f aca="false">G199/365</f>
        <v>3.08493150684932</v>
      </c>
      <c r="I199" s="1" t="n">
        <f aca="false">01_Lease_Master!$P$14</f>
        <v>0.105</v>
      </c>
      <c r="J199" s="1" t="n">
        <f aca="false">IF(F199="NO",1,1/(1+I199)^H199)</f>
        <v>0.734903545009845</v>
      </c>
      <c r="K199" s="6" t="n">
        <f aca="false">IF(F199="NO",0,E199*J199)</f>
        <v>91862.9431262306</v>
      </c>
      <c r="L199" s="1" t="str">
        <f aca="false">IF(ABS(E199-E199)&lt;=01_Lease_Master!$AI$14,"PASS","CHECK")</f>
        <v>PASS</v>
      </c>
      <c r="M199" s="1" t="s">
        <v>126</v>
      </c>
    </row>
    <row r="200" customFormat="false" ht="15" hidden="false" customHeight="true" outlineLevel="0" collapsed="false">
      <c r="A200" s="1" t="s">
        <v>101</v>
      </c>
      <c r="B200" s="1" t="n">
        <v>0</v>
      </c>
      <c r="C200" s="1" t="n">
        <v>38</v>
      </c>
      <c r="D200" s="7" t="n">
        <v>46966</v>
      </c>
      <c r="E200" s="6" t="n">
        <f aca="false">IF(D200&gt;=20_Escalation_Schedule!$B$30,((20_Escalation_Schedule!$D$30)*EXP(0)+IF(D200&gt;=20_Escalation_Schedule!$B$31,20_Escalation_Schedule!$D$31*EXP(0),0)),((01_Lease_Master!$I$14)*EXP(0)))</f>
        <v>125000</v>
      </c>
      <c r="F200" s="1" t="s">
        <v>126</v>
      </c>
      <c r="G200" s="1" t="n">
        <f aca="false">D200-01_Lease_Master!$D$14</f>
        <v>1157</v>
      </c>
      <c r="H200" s="1" t="n">
        <f aca="false">G200/365</f>
        <v>3.16986301369863</v>
      </c>
      <c r="I200" s="1" t="n">
        <f aca="false">01_Lease_Master!$P$14</f>
        <v>0.105</v>
      </c>
      <c r="J200" s="1" t="n">
        <f aca="false">IF(F200="NO",1,1/(1+I200)^H200)</f>
        <v>0.728697901270543</v>
      </c>
      <c r="K200" s="6" t="n">
        <f aca="false">IF(F200="NO",0,E200*J200)</f>
        <v>91087.2376588179</v>
      </c>
      <c r="L200" s="1" t="str">
        <f aca="false">IF(ABS(E200-E200)&lt;=01_Lease_Master!$AI$14,"PASS","CHECK")</f>
        <v>PASS</v>
      </c>
      <c r="M200" s="1" t="s">
        <v>126</v>
      </c>
    </row>
    <row r="201" customFormat="false" ht="15" hidden="false" customHeight="true" outlineLevel="0" collapsed="false">
      <c r="A201" s="1" t="s">
        <v>101</v>
      </c>
      <c r="B201" s="1" t="n">
        <v>0</v>
      </c>
      <c r="C201" s="1" t="n">
        <v>39</v>
      </c>
      <c r="D201" s="7" t="n">
        <v>46997</v>
      </c>
      <c r="E201" s="6" t="n">
        <f aca="false">IF(D201&gt;=20_Escalation_Schedule!$B$30,((20_Escalation_Schedule!$D$30)*EXP(0)+IF(D201&gt;=20_Escalation_Schedule!$B$31,20_Escalation_Schedule!$D$31*EXP(0),0)),((01_Lease_Master!$I$14)*EXP(0)))</f>
        <v>125000</v>
      </c>
      <c r="F201" s="1" t="s">
        <v>126</v>
      </c>
      <c r="G201" s="1" t="n">
        <f aca="false">D201-01_Lease_Master!$D$14</f>
        <v>1188</v>
      </c>
      <c r="H201" s="1" t="n">
        <f aca="false">G201/365</f>
        <v>3.25479452054795</v>
      </c>
      <c r="I201" s="1" t="n">
        <f aca="false">01_Lease_Master!$P$14</f>
        <v>0.105</v>
      </c>
      <c r="J201" s="1" t="n">
        <f aca="false">IF(F201="NO",1,1/(1+I201)^H201)</f>
        <v>0.72254465898512</v>
      </c>
      <c r="K201" s="6" t="n">
        <f aca="false">IF(F201="NO",0,E201*J201)</f>
        <v>90318.08237314</v>
      </c>
      <c r="L201" s="1" t="str">
        <f aca="false">IF(ABS(E201-E201)&lt;=01_Lease_Master!$AI$14,"PASS","CHECK")</f>
        <v>PASS</v>
      </c>
      <c r="M201" s="1" t="s">
        <v>126</v>
      </c>
    </row>
    <row r="202" customFormat="false" ht="15" hidden="false" customHeight="true" outlineLevel="0" collapsed="false">
      <c r="A202" s="1" t="s">
        <v>101</v>
      </c>
      <c r="B202" s="1" t="n">
        <v>0</v>
      </c>
      <c r="C202" s="1" t="n">
        <v>40</v>
      </c>
      <c r="D202" s="7" t="n">
        <v>47027</v>
      </c>
      <c r="E202" s="6" t="n">
        <f aca="false">IF(D202&gt;=20_Escalation_Schedule!$B$30,((20_Escalation_Schedule!$D$30)*EXP(0)+IF(D202&gt;=20_Escalation_Schedule!$B$31,20_Escalation_Schedule!$D$31*EXP(0),0)),((01_Lease_Master!$I$14)*EXP(0)))</f>
        <v>125000</v>
      </c>
      <c r="F202" s="1" t="s">
        <v>126</v>
      </c>
      <c r="G202" s="1" t="n">
        <f aca="false">D202-01_Lease_Master!$D$14</f>
        <v>1218</v>
      </c>
      <c r="H202" s="1" t="n">
        <f aca="false">G202/365</f>
        <v>3.33698630136986</v>
      </c>
      <c r="I202" s="1" t="n">
        <f aca="false">01_Lease_Master!$P$14</f>
        <v>0.105</v>
      </c>
      <c r="J202" s="1" t="n">
        <f aca="false">IF(F202="NO",1,1/(1+I202)^H202)</f>
        <v>0.716639384745847</v>
      </c>
      <c r="K202" s="6" t="n">
        <f aca="false">IF(F202="NO",0,E202*J202)</f>
        <v>89579.9230932308</v>
      </c>
      <c r="L202" s="1" t="str">
        <f aca="false">IF(ABS(E202-E202)&lt;=01_Lease_Master!$AI$14,"PASS","CHECK")</f>
        <v>PASS</v>
      </c>
      <c r="M202" s="1" t="s">
        <v>126</v>
      </c>
    </row>
    <row r="203" customFormat="false" ht="15" hidden="false" customHeight="true" outlineLevel="0" collapsed="false">
      <c r="A203" s="1" t="s">
        <v>101</v>
      </c>
      <c r="B203" s="1" t="n">
        <v>0</v>
      </c>
      <c r="C203" s="1" t="n">
        <v>41</v>
      </c>
      <c r="D203" s="7" t="n">
        <v>47058</v>
      </c>
      <c r="E203" s="6" t="n">
        <f aca="false">IF(D203&gt;=20_Escalation_Schedule!$B$30,((20_Escalation_Schedule!$D$30)*EXP(0)+IF(D203&gt;=20_Escalation_Schedule!$B$31,20_Escalation_Schedule!$D$31*EXP(0),0)),((01_Lease_Master!$I$14)*EXP(0)))</f>
        <v>125000</v>
      </c>
      <c r="F203" s="1" t="s">
        <v>126</v>
      </c>
      <c r="G203" s="1" t="n">
        <f aca="false">D203-01_Lease_Master!$D$14</f>
        <v>1249</v>
      </c>
      <c r="H203" s="1" t="n">
        <f aca="false">G203/365</f>
        <v>3.42191780821918</v>
      </c>
      <c r="I203" s="1" t="n">
        <f aca="false">01_Lease_Master!$P$14</f>
        <v>0.105</v>
      </c>
      <c r="J203" s="1" t="n">
        <f aca="false">IF(F203="NO",1,1/(1+I203)^H203)</f>
        <v>0.710587966513505</v>
      </c>
      <c r="K203" s="6" t="n">
        <f aca="false">IF(F203="NO",0,E203*J203)</f>
        <v>88823.4958141882</v>
      </c>
      <c r="L203" s="1" t="str">
        <f aca="false">IF(ABS(E203-E203)&lt;=01_Lease_Master!$AI$14,"PASS","CHECK")</f>
        <v>PASS</v>
      </c>
      <c r="M203" s="1" t="s">
        <v>126</v>
      </c>
    </row>
    <row r="204" customFormat="false" ht="15" hidden="false" customHeight="true" outlineLevel="0" collapsed="false">
      <c r="A204" s="1" t="s">
        <v>101</v>
      </c>
      <c r="B204" s="1" t="n">
        <v>0</v>
      </c>
      <c r="C204" s="1" t="n">
        <v>42</v>
      </c>
      <c r="D204" s="7" t="n">
        <v>47088</v>
      </c>
      <c r="E204" s="6" t="n">
        <f aca="false">IF(D204&gt;=20_Escalation_Schedule!$B$30,((20_Escalation_Schedule!$D$30)*EXP(0)+IF(D204&gt;=20_Escalation_Schedule!$B$31,20_Escalation_Schedule!$D$31*EXP(0),0)),((01_Lease_Master!$I$14)*EXP(0)))</f>
        <v>125000</v>
      </c>
      <c r="F204" s="1" t="s">
        <v>126</v>
      </c>
      <c r="G204" s="1" t="n">
        <f aca="false">D204-01_Lease_Master!$D$14</f>
        <v>1279</v>
      </c>
      <c r="H204" s="1" t="n">
        <f aca="false">G204/365</f>
        <v>3.5041095890411</v>
      </c>
      <c r="I204" s="1" t="n">
        <f aca="false">01_Lease_Master!$P$14</f>
        <v>0.105</v>
      </c>
      <c r="J204" s="1" t="n">
        <f aca="false">IF(F204="NO",1,1/(1+I204)^H204)</f>
        <v>0.704780412944036</v>
      </c>
      <c r="K204" s="6" t="n">
        <f aca="false">IF(F204="NO",0,E204*J204)</f>
        <v>88097.5516180045</v>
      </c>
      <c r="L204" s="1" t="str">
        <f aca="false">IF(ABS(E204-E204)&lt;=01_Lease_Master!$AI$14,"PASS","CHECK")</f>
        <v>PASS</v>
      </c>
      <c r="M204" s="1" t="s">
        <v>126</v>
      </c>
    </row>
    <row r="205" customFormat="false" ht="15" hidden="false" customHeight="true" outlineLevel="0" collapsed="false">
      <c r="A205" s="1" t="s">
        <v>101</v>
      </c>
      <c r="B205" s="1" t="n">
        <v>0</v>
      </c>
      <c r="C205" s="1" t="n">
        <v>43</v>
      </c>
      <c r="D205" s="7" t="n">
        <v>47119</v>
      </c>
      <c r="E205" s="6" t="n">
        <f aca="false">IF(D205&gt;=20_Escalation_Schedule!$B$30,((20_Escalation_Schedule!$D$30)*EXP(0)+IF(D205&gt;=20_Escalation_Schedule!$B$31,20_Escalation_Schedule!$D$31*EXP(0),0)),((01_Lease_Master!$I$14)*EXP(0)))</f>
        <v>125000</v>
      </c>
      <c r="F205" s="1" t="s">
        <v>126</v>
      </c>
      <c r="G205" s="1" t="n">
        <f aca="false">D205-01_Lease_Master!$D$14</f>
        <v>1310</v>
      </c>
      <c r="H205" s="1" t="n">
        <f aca="false">G205/365</f>
        <v>3.58904109589041</v>
      </c>
      <c r="I205" s="1" t="n">
        <f aca="false">01_Lease_Master!$P$14</f>
        <v>0.105</v>
      </c>
      <c r="J205" s="1" t="n">
        <f aca="false">IF(F205="NO",1,1/(1+I205)^H205)</f>
        <v>0.69882913377704</v>
      </c>
      <c r="K205" s="6" t="n">
        <f aca="false">IF(F205="NO",0,E205*J205)</f>
        <v>87353.64172213</v>
      </c>
      <c r="L205" s="1" t="str">
        <f aca="false">IF(ABS(E205-E205)&lt;=01_Lease_Master!$AI$14,"PASS","CHECK")</f>
        <v>PASS</v>
      </c>
      <c r="M205" s="1" t="s">
        <v>126</v>
      </c>
    </row>
    <row r="206" customFormat="false" ht="15" hidden="false" customHeight="true" outlineLevel="0" collapsed="false">
      <c r="A206" s="1" t="s">
        <v>101</v>
      </c>
      <c r="B206" s="1" t="n">
        <v>0</v>
      </c>
      <c r="C206" s="1" t="n">
        <v>44</v>
      </c>
      <c r="D206" s="7" t="n">
        <v>47150</v>
      </c>
      <c r="E206" s="6" t="n">
        <f aca="false">IF(D206&gt;=20_Escalation_Schedule!$B$30,((20_Escalation_Schedule!$D$30)*EXP(0)+IF(D206&gt;=20_Escalation_Schedule!$B$31,20_Escalation_Schedule!$D$31*EXP(0),0)),((01_Lease_Master!$I$14)*EXP(0)))</f>
        <v>125000</v>
      </c>
      <c r="F206" s="1" t="s">
        <v>126</v>
      </c>
      <c r="G206" s="1" t="n">
        <f aca="false">D206-01_Lease_Master!$D$14</f>
        <v>1341</v>
      </c>
      <c r="H206" s="1" t="n">
        <f aca="false">G206/365</f>
        <v>3.67397260273973</v>
      </c>
      <c r="I206" s="1" t="n">
        <f aca="false">01_Lease_Master!$P$14</f>
        <v>0.105</v>
      </c>
      <c r="J206" s="1" t="n">
        <f aca="false">IF(F206="NO",1,1/(1+I206)^H206)</f>
        <v>0.692928108168561</v>
      </c>
      <c r="K206" s="6" t="n">
        <f aca="false">IF(F206="NO",0,E206*J206)</f>
        <v>86616.0135210702</v>
      </c>
      <c r="L206" s="1" t="str">
        <f aca="false">IF(ABS(E206-E206)&lt;=01_Lease_Master!$AI$14,"PASS","CHECK")</f>
        <v>PASS</v>
      </c>
      <c r="M206" s="1" t="s">
        <v>126</v>
      </c>
    </row>
    <row r="207" customFormat="false" ht="15" hidden="false" customHeight="true" outlineLevel="0" collapsed="false">
      <c r="A207" s="1" t="s">
        <v>101</v>
      </c>
      <c r="B207" s="1" t="n">
        <v>0</v>
      </c>
      <c r="C207" s="1" t="n">
        <v>45</v>
      </c>
      <c r="D207" s="7" t="n">
        <v>47178</v>
      </c>
      <c r="E207" s="6" t="n">
        <f aca="false">IF(D207&gt;=20_Escalation_Schedule!$B$30,((20_Escalation_Schedule!$D$30)*EXP(0)+IF(D207&gt;=20_Escalation_Schedule!$B$31,20_Escalation_Schedule!$D$31*EXP(0),0)),((01_Lease_Master!$I$14)*EXP(0)))</f>
        <v>125000</v>
      </c>
      <c r="F207" s="1" t="s">
        <v>126</v>
      </c>
      <c r="G207" s="1" t="n">
        <f aca="false">D207-01_Lease_Master!$D$14</f>
        <v>1369</v>
      </c>
      <c r="H207" s="1" t="n">
        <f aca="false">G207/365</f>
        <v>3.75068493150685</v>
      </c>
      <c r="I207" s="1" t="n">
        <f aca="false">01_Lease_Master!$P$14</f>
        <v>0.105</v>
      </c>
      <c r="J207" s="1" t="n">
        <f aca="false">IF(F207="NO",1,1/(1+I207)^H207)</f>
        <v>0.687640990516342</v>
      </c>
      <c r="K207" s="6" t="n">
        <f aca="false">IF(F207="NO",0,E207*J207)</f>
        <v>85955.1238145428</v>
      </c>
      <c r="L207" s="1" t="str">
        <f aca="false">IF(ABS(E207-E207)&lt;=01_Lease_Master!$AI$14,"PASS","CHECK")</f>
        <v>PASS</v>
      </c>
      <c r="M207" s="1" t="s">
        <v>126</v>
      </c>
    </row>
    <row r="208" customFormat="false" ht="15" hidden="false" customHeight="true" outlineLevel="0" collapsed="false">
      <c r="A208" s="1" t="s">
        <v>101</v>
      </c>
      <c r="B208" s="1" t="n">
        <v>0</v>
      </c>
      <c r="C208" s="1" t="n">
        <v>46</v>
      </c>
      <c r="D208" s="7" t="n">
        <v>47209</v>
      </c>
      <c r="E208" s="6" t="n">
        <f aca="false">IF(D208&gt;=20_Escalation_Schedule!$B$30,((20_Escalation_Schedule!$D$30)*EXP(0)+IF(D208&gt;=20_Escalation_Schedule!$B$31,20_Escalation_Schedule!$D$31*EXP(0),0)),((01_Lease_Master!$I$14)*EXP(0)))</f>
        <v>125000</v>
      </c>
      <c r="F208" s="1" t="s">
        <v>126</v>
      </c>
      <c r="G208" s="1" t="n">
        <f aca="false">D208-01_Lease_Master!$D$14</f>
        <v>1400</v>
      </c>
      <c r="H208" s="1" t="n">
        <f aca="false">G208/365</f>
        <v>3.83561643835616</v>
      </c>
      <c r="I208" s="1" t="n">
        <f aca="false">01_Lease_Master!$P$14</f>
        <v>0.105</v>
      </c>
      <c r="J208" s="1" t="n">
        <f aca="false">IF(F208="NO",1,1/(1+I208)^H208)</f>
        <v>0.681834439389109</v>
      </c>
      <c r="K208" s="6" t="n">
        <f aca="false">IF(F208="NO",0,E208*J208)</f>
        <v>85229.3049236386</v>
      </c>
      <c r="L208" s="1" t="str">
        <f aca="false">IF(ABS(E208-E208)&lt;=01_Lease_Master!$AI$14,"PASS","CHECK")</f>
        <v>PASS</v>
      </c>
      <c r="M208" s="1" t="s">
        <v>126</v>
      </c>
    </row>
    <row r="209" customFormat="false" ht="15" hidden="false" customHeight="true" outlineLevel="0" collapsed="false">
      <c r="A209" s="1" t="s">
        <v>101</v>
      </c>
      <c r="B209" s="1" t="n">
        <v>0</v>
      </c>
      <c r="C209" s="1" t="n">
        <v>47</v>
      </c>
      <c r="D209" s="7" t="n">
        <v>47239</v>
      </c>
      <c r="E209" s="6" t="n">
        <f aca="false">IF(D209&gt;=20_Escalation_Schedule!$B$30,((20_Escalation_Schedule!$D$30)*EXP(0)+IF(D209&gt;=20_Escalation_Schedule!$B$31,20_Escalation_Schedule!$D$31*EXP(0),0)),((01_Lease_Master!$I$14)*EXP(0)))</f>
        <v>125000</v>
      </c>
      <c r="F209" s="1" t="s">
        <v>126</v>
      </c>
      <c r="G209" s="1" t="n">
        <f aca="false">D209-01_Lease_Master!$D$14</f>
        <v>1430</v>
      </c>
      <c r="H209" s="1" t="n">
        <f aca="false">G209/365</f>
        <v>3.91780821917808</v>
      </c>
      <c r="I209" s="1" t="n">
        <f aca="false">01_Lease_Master!$P$14</f>
        <v>0.105</v>
      </c>
      <c r="J209" s="1" t="n">
        <f aca="false">IF(F209="NO",1,1/(1+I209)^H209)</f>
        <v>0.676261885083567</v>
      </c>
      <c r="K209" s="6" t="n">
        <f aca="false">IF(F209="NO",0,E209*J209)</f>
        <v>84532.7356354458</v>
      </c>
      <c r="L209" s="1" t="str">
        <f aca="false">IF(ABS(E209-E209)&lt;=01_Lease_Master!$AI$14,"PASS","CHECK")</f>
        <v>PASS</v>
      </c>
      <c r="M209" s="1" t="s">
        <v>126</v>
      </c>
    </row>
    <row r="210" customFormat="false" ht="15" hidden="false" customHeight="true" outlineLevel="0" collapsed="false">
      <c r="A210" s="1" t="s">
        <v>104</v>
      </c>
      <c r="B210" s="1" t="n">
        <v>0</v>
      </c>
      <c r="C210" s="1" t="n">
        <v>1</v>
      </c>
      <c r="D210" s="7" t="n">
        <v>45383</v>
      </c>
      <c r="E210" s="6" t="n">
        <f aca="false">((01_Lease_Master!$I$15)*EXP(IF(D210&gt;=20_Escalation_Schedule!$B$32,LN(1+20_Escalation_Schedule!$D$32),0)+IF(D210&gt;=20_Escalation_Schedule!$B$33,LN(1+20_Escalation_Schedule!$D$33),0)+IF(D210&gt;=20_Escalation_Schedule!$B$34,LN(1+20_Escalation_Schedule!$D$34),0)+IF(D210&gt;=20_Escalation_Schedule!$B$35,LN(1+20_Escalation_Schedule!$D$35),0)))</f>
        <v>500000</v>
      </c>
      <c r="F210" s="1" t="s">
        <v>126</v>
      </c>
      <c r="G210" s="1" t="n">
        <f aca="false">D210-01_Lease_Master!$D$15</f>
        <v>0</v>
      </c>
      <c r="H210" s="1" t="n">
        <f aca="false">G210/365</f>
        <v>0</v>
      </c>
      <c r="I210" s="1" t="n">
        <f aca="false">01_Lease_Master!$P$15</f>
        <v>0.0925</v>
      </c>
      <c r="J210" s="1" t="n">
        <f aca="false">IF(F210="NO",1,1/(1+I210)^H210)</f>
        <v>1</v>
      </c>
      <c r="K210" s="6" t="n">
        <f aca="false">IF(F210="NO",0,E210*J210)</f>
        <v>500000</v>
      </c>
      <c r="L210" s="1" t="str">
        <f aca="false">IF(ABS(E210-E210)&lt;=01_Lease_Master!$AI$15,"PASS","CHECK")</f>
        <v>PASS</v>
      </c>
      <c r="M210" s="1" t="s">
        <v>126</v>
      </c>
    </row>
    <row r="211" customFormat="false" ht="15" hidden="false" customHeight="true" outlineLevel="0" collapsed="false">
      <c r="A211" s="1" t="s">
        <v>104</v>
      </c>
      <c r="B211" s="1" t="n">
        <v>0</v>
      </c>
      <c r="C211" s="1" t="n">
        <v>2</v>
      </c>
      <c r="D211" s="7" t="n">
        <v>45474</v>
      </c>
      <c r="E211" s="6" t="n">
        <f aca="false">((01_Lease_Master!$I$15)*EXP(IF(D211&gt;=20_Escalation_Schedule!$B$32,LN(1+20_Escalation_Schedule!$D$32),0)+IF(D211&gt;=20_Escalation_Schedule!$B$33,LN(1+20_Escalation_Schedule!$D$33),0)+IF(D211&gt;=20_Escalation_Schedule!$B$34,LN(1+20_Escalation_Schedule!$D$34),0)+IF(D211&gt;=20_Escalation_Schedule!$B$35,LN(1+20_Escalation_Schedule!$D$35),0)))</f>
        <v>500000</v>
      </c>
      <c r="F211" s="1" t="s">
        <v>126</v>
      </c>
      <c r="G211" s="1" t="n">
        <f aca="false">D211-01_Lease_Master!$D$15</f>
        <v>91</v>
      </c>
      <c r="H211" s="1" t="n">
        <f aca="false">G211/365</f>
        <v>0.249315068493151</v>
      </c>
      <c r="I211" s="1" t="n">
        <f aca="false">01_Lease_Master!$P$15</f>
        <v>0.0925</v>
      </c>
      <c r="J211" s="1" t="n">
        <f aca="false">IF(F211="NO",1,1/(1+I211)^H211)</f>
        <v>0.978184900469086</v>
      </c>
      <c r="K211" s="6" t="n">
        <f aca="false">IF(F211="NO",0,E211*J211)</f>
        <v>489092.450234543</v>
      </c>
      <c r="L211" s="1" t="str">
        <f aca="false">IF(ABS(E211-E211)&lt;=01_Lease_Master!$AI$15,"PASS","CHECK")</f>
        <v>PASS</v>
      </c>
      <c r="M211" s="1" t="s">
        <v>126</v>
      </c>
    </row>
    <row r="212" customFormat="false" ht="15" hidden="false" customHeight="true" outlineLevel="0" collapsed="false">
      <c r="A212" s="1" t="s">
        <v>104</v>
      </c>
      <c r="B212" s="1" t="n">
        <v>0</v>
      </c>
      <c r="C212" s="1" t="n">
        <v>3</v>
      </c>
      <c r="D212" s="7" t="n">
        <v>45566</v>
      </c>
      <c r="E212" s="6" t="n">
        <f aca="false">((01_Lease_Master!$I$15)*EXP(IF(D212&gt;=20_Escalation_Schedule!$B$32,LN(1+20_Escalation_Schedule!$D$32),0)+IF(D212&gt;=20_Escalation_Schedule!$B$33,LN(1+20_Escalation_Schedule!$D$33),0)+IF(D212&gt;=20_Escalation_Schedule!$B$34,LN(1+20_Escalation_Schedule!$D$34),0)+IF(D212&gt;=20_Escalation_Schedule!$B$35,LN(1+20_Escalation_Schedule!$D$35),0)))</f>
        <v>500000</v>
      </c>
      <c r="F212" s="1" t="s">
        <v>126</v>
      </c>
      <c r="G212" s="1" t="n">
        <f aca="false">D212-01_Lease_Master!$D$15</f>
        <v>183</v>
      </c>
      <c r="H212" s="1" t="n">
        <f aca="false">G212/365</f>
        <v>0.501369863013699</v>
      </c>
      <c r="I212" s="1" t="n">
        <f aca="false">01_Lease_Master!$P$15</f>
        <v>0.0925</v>
      </c>
      <c r="J212" s="1" t="n">
        <f aca="false">IF(F212="NO",1,1/(1+I212)^H212)</f>
        <v>0.956613807485532</v>
      </c>
      <c r="K212" s="6" t="n">
        <f aca="false">IF(F212="NO",0,E212*J212)</f>
        <v>478306.903742766</v>
      </c>
      <c r="L212" s="1" t="str">
        <f aca="false">IF(ABS(E212-E212)&lt;=01_Lease_Master!$AI$15,"PASS","CHECK")</f>
        <v>PASS</v>
      </c>
      <c r="M212" s="1" t="s">
        <v>126</v>
      </c>
    </row>
    <row r="213" customFormat="false" ht="15" hidden="false" customHeight="true" outlineLevel="0" collapsed="false">
      <c r="A213" s="1" t="s">
        <v>104</v>
      </c>
      <c r="B213" s="1" t="n">
        <v>0</v>
      </c>
      <c r="C213" s="1" t="n">
        <v>4</v>
      </c>
      <c r="D213" s="7" t="n">
        <v>45658</v>
      </c>
      <c r="E213" s="6" t="n">
        <f aca="false">((01_Lease_Master!$I$15)*EXP(IF(D213&gt;=20_Escalation_Schedule!$B$32,LN(1+20_Escalation_Schedule!$D$32),0)+IF(D213&gt;=20_Escalation_Schedule!$B$33,LN(1+20_Escalation_Schedule!$D$33),0)+IF(D213&gt;=20_Escalation_Schedule!$B$34,LN(1+20_Escalation_Schedule!$D$34),0)+IF(D213&gt;=20_Escalation_Schedule!$B$35,LN(1+20_Escalation_Schedule!$D$35),0)))</f>
        <v>500000</v>
      </c>
      <c r="F213" s="1" t="s">
        <v>126</v>
      </c>
      <c r="G213" s="1" t="n">
        <f aca="false">D213-01_Lease_Master!$D$15</f>
        <v>275</v>
      </c>
      <c r="H213" s="1" t="n">
        <f aca="false">G213/365</f>
        <v>0.753424657534247</v>
      </c>
      <c r="I213" s="1" t="n">
        <f aca="false">01_Lease_Master!$P$15</f>
        <v>0.0925</v>
      </c>
      <c r="J213" s="1" t="n">
        <f aca="false">IF(F213="NO",1,1/(1+I213)^H213)</f>
        <v>0.93551840376306</v>
      </c>
      <c r="K213" s="6" t="n">
        <f aca="false">IF(F213="NO",0,E213*J213)</f>
        <v>467759.20188153</v>
      </c>
      <c r="L213" s="1" t="str">
        <f aca="false">IF(ABS(E213-E213)&lt;=01_Lease_Master!$AI$15,"PASS","CHECK")</f>
        <v>PASS</v>
      </c>
      <c r="M213" s="1" t="s">
        <v>126</v>
      </c>
    </row>
    <row r="214" customFormat="false" ht="15" hidden="false" customHeight="true" outlineLevel="0" collapsed="false">
      <c r="A214" s="1" t="s">
        <v>104</v>
      </c>
      <c r="B214" s="1" t="n">
        <v>0</v>
      </c>
      <c r="C214" s="1" t="n">
        <v>5</v>
      </c>
      <c r="D214" s="7" t="n">
        <v>45748</v>
      </c>
      <c r="E214" s="6" t="n">
        <f aca="false">((01_Lease_Master!$I$15)*EXP(IF(D214&gt;=20_Escalation_Schedule!$B$32,LN(1+20_Escalation_Schedule!$D$32),0)+IF(D214&gt;=20_Escalation_Schedule!$B$33,LN(1+20_Escalation_Schedule!$D$33),0)+IF(D214&gt;=20_Escalation_Schedule!$B$34,LN(1+20_Escalation_Schedule!$D$34),0)+IF(D214&gt;=20_Escalation_Schedule!$B$35,LN(1+20_Escalation_Schedule!$D$35),0)))</f>
        <v>515000</v>
      </c>
      <c r="F214" s="1" t="s">
        <v>126</v>
      </c>
      <c r="G214" s="1" t="n">
        <f aca="false">D214-01_Lease_Master!$D$15</f>
        <v>365</v>
      </c>
      <c r="H214" s="1" t="n">
        <f aca="false">G214/365</f>
        <v>1</v>
      </c>
      <c r="I214" s="1" t="n">
        <f aca="false">01_Lease_Master!$P$15</f>
        <v>0.0925</v>
      </c>
      <c r="J214" s="1" t="n">
        <f aca="false">IF(F214="NO",1,1/(1+I214)^H214)</f>
        <v>0.91533180778032</v>
      </c>
      <c r="K214" s="6" t="n">
        <f aca="false">IF(F214="NO",0,E214*J214)</f>
        <v>471395.881006865</v>
      </c>
      <c r="L214" s="1" t="str">
        <f aca="false">IF(ABS(E214-E214)&lt;=01_Lease_Master!$AI$15,"PASS","CHECK")</f>
        <v>PASS</v>
      </c>
      <c r="M214" s="1" t="s">
        <v>126</v>
      </c>
    </row>
    <row r="215" customFormat="false" ht="15" hidden="false" customHeight="true" outlineLevel="0" collapsed="false">
      <c r="A215" s="1" t="s">
        <v>104</v>
      </c>
      <c r="B215" s="1" t="n">
        <v>0</v>
      </c>
      <c r="C215" s="1" t="n">
        <v>6</v>
      </c>
      <c r="D215" s="7" t="n">
        <v>45839</v>
      </c>
      <c r="E215" s="6" t="n">
        <f aca="false">((01_Lease_Master!$I$15)*EXP(IF(D215&gt;=20_Escalation_Schedule!$B$32,LN(1+20_Escalation_Schedule!$D$32),0)+IF(D215&gt;=20_Escalation_Schedule!$B$33,LN(1+20_Escalation_Schedule!$D$33),0)+IF(D215&gt;=20_Escalation_Schedule!$B$34,LN(1+20_Escalation_Schedule!$D$34),0)+IF(D215&gt;=20_Escalation_Schedule!$B$35,LN(1+20_Escalation_Schedule!$D$35),0)))</f>
        <v>515000</v>
      </c>
      <c r="F215" s="1" t="s">
        <v>126</v>
      </c>
      <c r="G215" s="1" t="n">
        <f aca="false">D215-01_Lease_Master!$D$15</f>
        <v>456</v>
      </c>
      <c r="H215" s="1" t="n">
        <f aca="false">G215/365</f>
        <v>1.24931506849315</v>
      </c>
      <c r="I215" s="1" t="n">
        <f aca="false">01_Lease_Master!$P$15</f>
        <v>0.0925</v>
      </c>
      <c r="J215" s="1" t="n">
        <f aca="false">IF(F215="NO",1,1/(1+I215)^H215)</f>
        <v>0.895363753289781</v>
      </c>
      <c r="K215" s="6" t="n">
        <f aca="false">IF(F215="NO",0,E215*J215)</f>
        <v>461112.332944237</v>
      </c>
      <c r="L215" s="1" t="str">
        <f aca="false">IF(ABS(E215-E215)&lt;=01_Lease_Master!$AI$15,"PASS","CHECK")</f>
        <v>PASS</v>
      </c>
      <c r="M215" s="1" t="s">
        <v>126</v>
      </c>
    </row>
    <row r="216" customFormat="false" ht="15" hidden="false" customHeight="true" outlineLevel="0" collapsed="false">
      <c r="A216" s="1" t="s">
        <v>104</v>
      </c>
      <c r="B216" s="1" t="n">
        <v>0</v>
      </c>
      <c r="C216" s="1" t="n">
        <v>7</v>
      </c>
      <c r="D216" s="7" t="n">
        <v>45931</v>
      </c>
      <c r="E216" s="6" t="n">
        <f aca="false">((01_Lease_Master!$I$15)*EXP(IF(D216&gt;=20_Escalation_Schedule!$B$32,LN(1+20_Escalation_Schedule!$D$32),0)+IF(D216&gt;=20_Escalation_Schedule!$B$33,LN(1+20_Escalation_Schedule!$D$33),0)+IF(D216&gt;=20_Escalation_Schedule!$B$34,LN(1+20_Escalation_Schedule!$D$34),0)+IF(D216&gt;=20_Escalation_Schedule!$B$35,LN(1+20_Escalation_Schedule!$D$35),0)))</f>
        <v>515000</v>
      </c>
      <c r="F216" s="1" t="s">
        <v>126</v>
      </c>
      <c r="G216" s="1" t="n">
        <f aca="false">D216-01_Lease_Master!$D$15</f>
        <v>548</v>
      </c>
      <c r="H216" s="1" t="n">
        <f aca="false">G216/365</f>
        <v>1.5013698630137</v>
      </c>
      <c r="I216" s="1" t="n">
        <f aca="false">01_Lease_Master!$P$15</f>
        <v>0.0925</v>
      </c>
      <c r="J216" s="1" t="n">
        <f aca="false">IF(F216="NO",1,1/(1+I216)^H216)</f>
        <v>0.875619045753348</v>
      </c>
      <c r="K216" s="6" t="n">
        <f aca="false">IF(F216="NO",0,E216*J216)</f>
        <v>450943.808562974</v>
      </c>
      <c r="L216" s="1" t="str">
        <f aca="false">IF(ABS(E216-E216)&lt;=01_Lease_Master!$AI$15,"PASS","CHECK")</f>
        <v>PASS</v>
      </c>
      <c r="M216" s="1" t="s">
        <v>126</v>
      </c>
    </row>
    <row r="217" customFormat="false" ht="15" hidden="false" customHeight="true" outlineLevel="0" collapsed="false">
      <c r="A217" s="1" t="s">
        <v>104</v>
      </c>
      <c r="B217" s="1" t="n">
        <v>0</v>
      </c>
      <c r="C217" s="1" t="n">
        <v>8</v>
      </c>
      <c r="D217" s="7" t="n">
        <v>46023</v>
      </c>
      <c r="E217" s="6" t="n">
        <f aca="false">((01_Lease_Master!$I$15)*EXP(IF(D217&gt;=20_Escalation_Schedule!$B$32,LN(1+20_Escalation_Schedule!$D$32),0)+IF(D217&gt;=20_Escalation_Schedule!$B$33,LN(1+20_Escalation_Schedule!$D$33),0)+IF(D217&gt;=20_Escalation_Schedule!$B$34,LN(1+20_Escalation_Schedule!$D$34),0)+IF(D217&gt;=20_Escalation_Schedule!$B$35,LN(1+20_Escalation_Schedule!$D$35),0)))</f>
        <v>515000</v>
      </c>
      <c r="F217" s="1" t="s">
        <v>126</v>
      </c>
      <c r="G217" s="1" t="n">
        <f aca="false">D217-01_Lease_Master!$D$15</f>
        <v>640</v>
      </c>
      <c r="H217" s="1" t="n">
        <f aca="false">G217/365</f>
        <v>1.75342465753425</v>
      </c>
      <c r="I217" s="1" t="n">
        <f aca="false">01_Lease_Master!$P$15</f>
        <v>0.0925</v>
      </c>
      <c r="J217" s="1" t="n">
        <f aca="false">IF(F217="NO",1,1/(1+I217)^H217)</f>
        <v>0.856309751728202</v>
      </c>
      <c r="K217" s="6" t="n">
        <f aca="false">IF(F217="NO",0,E217*J217)</f>
        <v>440999.522140024</v>
      </c>
      <c r="L217" s="1" t="str">
        <f aca="false">IF(ABS(E217-E217)&lt;=01_Lease_Master!$AI$15,"PASS","CHECK")</f>
        <v>PASS</v>
      </c>
      <c r="M217" s="1" t="s">
        <v>126</v>
      </c>
    </row>
    <row r="218" customFormat="false" ht="15" hidden="false" customHeight="true" outlineLevel="0" collapsed="false">
      <c r="A218" s="1" t="s">
        <v>104</v>
      </c>
      <c r="B218" s="1" t="n">
        <v>0</v>
      </c>
      <c r="C218" s="1" t="n">
        <v>9</v>
      </c>
      <c r="D218" s="7" t="n">
        <v>46113</v>
      </c>
      <c r="E218" s="6" t="n">
        <f aca="false">((01_Lease_Master!$I$15)*EXP(IF(D218&gt;=20_Escalation_Schedule!$B$32,LN(1+20_Escalation_Schedule!$D$32),0)+IF(D218&gt;=20_Escalation_Schedule!$B$33,LN(1+20_Escalation_Schedule!$D$33),0)+IF(D218&gt;=20_Escalation_Schedule!$B$34,LN(1+20_Escalation_Schedule!$D$34),0)+IF(D218&gt;=20_Escalation_Schedule!$B$35,LN(1+20_Escalation_Schedule!$D$35),0)))</f>
        <v>530450</v>
      </c>
      <c r="F218" s="1" t="s">
        <v>126</v>
      </c>
      <c r="G218" s="1" t="n">
        <f aca="false">D218-01_Lease_Master!$D$15</f>
        <v>730</v>
      </c>
      <c r="H218" s="1" t="n">
        <f aca="false">G218/365</f>
        <v>2</v>
      </c>
      <c r="I218" s="1" t="n">
        <f aca="false">01_Lease_Master!$P$15</f>
        <v>0.0925</v>
      </c>
      <c r="J218" s="1" t="n">
        <f aca="false">IF(F218="NO",1,1/(1+I218)^H218)</f>
        <v>0.837832318334389</v>
      </c>
      <c r="K218" s="6" t="n">
        <f aca="false">IF(F218="NO",0,E218*J218)</f>
        <v>444428.153260477</v>
      </c>
      <c r="L218" s="1" t="str">
        <f aca="false">IF(ABS(E218-E218)&lt;=01_Lease_Master!$AI$15,"PASS","CHECK")</f>
        <v>PASS</v>
      </c>
      <c r="M218" s="1" t="s">
        <v>126</v>
      </c>
    </row>
    <row r="219" customFormat="false" ht="15" hidden="false" customHeight="true" outlineLevel="0" collapsed="false">
      <c r="A219" s="1" t="s">
        <v>104</v>
      </c>
      <c r="B219" s="1" t="n">
        <v>0</v>
      </c>
      <c r="C219" s="1" t="n">
        <v>10</v>
      </c>
      <c r="D219" s="7" t="n">
        <v>46204</v>
      </c>
      <c r="E219" s="6" t="n">
        <f aca="false">((01_Lease_Master!$I$15)*EXP(IF(D219&gt;=20_Escalation_Schedule!$B$32,LN(1+20_Escalation_Schedule!$D$32),0)+IF(D219&gt;=20_Escalation_Schedule!$B$33,LN(1+20_Escalation_Schedule!$D$33),0)+IF(D219&gt;=20_Escalation_Schedule!$B$34,LN(1+20_Escalation_Schedule!$D$34),0)+IF(D219&gt;=20_Escalation_Schedule!$B$35,LN(1+20_Escalation_Schedule!$D$35),0)))</f>
        <v>530450</v>
      </c>
      <c r="F219" s="1" t="s">
        <v>126</v>
      </c>
      <c r="G219" s="1" t="n">
        <f aca="false">D219-01_Lease_Master!$D$15</f>
        <v>821</v>
      </c>
      <c r="H219" s="1" t="n">
        <f aca="false">G219/365</f>
        <v>2.24931506849315</v>
      </c>
      <c r="I219" s="1" t="n">
        <f aca="false">01_Lease_Master!$P$15</f>
        <v>0.0925</v>
      </c>
      <c r="J219" s="1" t="n">
        <f aca="false">IF(F219="NO",1,1/(1+I219)^H219)</f>
        <v>0.819554922919708</v>
      </c>
      <c r="K219" s="6" t="n">
        <f aca="false">IF(F219="NO",0,E219*J219)</f>
        <v>434732.908862759</v>
      </c>
      <c r="L219" s="1" t="str">
        <f aca="false">IF(ABS(E219-E219)&lt;=01_Lease_Master!$AI$15,"PASS","CHECK")</f>
        <v>PASS</v>
      </c>
      <c r="M219" s="1" t="s">
        <v>126</v>
      </c>
    </row>
    <row r="220" customFormat="false" ht="15" hidden="false" customHeight="true" outlineLevel="0" collapsed="false">
      <c r="A220" s="1" t="s">
        <v>104</v>
      </c>
      <c r="B220" s="1" t="n">
        <v>0</v>
      </c>
      <c r="C220" s="1" t="n">
        <v>11</v>
      </c>
      <c r="D220" s="7" t="n">
        <v>46296</v>
      </c>
      <c r="E220" s="6" t="n">
        <f aca="false">((01_Lease_Master!$I$15)*EXP(IF(D220&gt;=20_Escalation_Schedule!$B$32,LN(1+20_Escalation_Schedule!$D$32),0)+IF(D220&gt;=20_Escalation_Schedule!$B$33,LN(1+20_Escalation_Schedule!$D$33),0)+IF(D220&gt;=20_Escalation_Schedule!$B$34,LN(1+20_Escalation_Schedule!$D$34),0)+IF(D220&gt;=20_Escalation_Schedule!$B$35,LN(1+20_Escalation_Schedule!$D$35),0)))</f>
        <v>530450</v>
      </c>
      <c r="F220" s="1" t="s">
        <v>126</v>
      </c>
      <c r="G220" s="1" t="n">
        <f aca="false">D220-01_Lease_Master!$D$15</f>
        <v>913</v>
      </c>
      <c r="H220" s="1" t="n">
        <f aca="false">G220/365</f>
        <v>2.5013698630137</v>
      </c>
      <c r="I220" s="1" t="n">
        <f aca="false">01_Lease_Master!$P$15</f>
        <v>0.0925</v>
      </c>
      <c r="J220" s="1" t="n">
        <f aca="false">IF(F220="NO",1,1/(1+I220)^H220)</f>
        <v>0.801481964076291</v>
      </c>
      <c r="K220" s="6" t="n">
        <f aca="false">IF(F220="NO",0,E220*J220)</f>
        <v>425146.107844268</v>
      </c>
      <c r="L220" s="1" t="str">
        <f aca="false">IF(ABS(E220-E220)&lt;=01_Lease_Master!$AI$15,"PASS","CHECK")</f>
        <v>PASS</v>
      </c>
      <c r="M220" s="1" t="s">
        <v>126</v>
      </c>
    </row>
    <row r="221" customFormat="false" ht="15" hidden="false" customHeight="true" outlineLevel="0" collapsed="false">
      <c r="A221" s="1" t="s">
        <v>104</v>
      </c>
      <c r="B221" s="1" t="n">
        <v>0</v>
      </c>
      <c r="C221" s="1" t="n">
        <v>12</v>
      </c>
      <c r="D221" s="7" t="n">
        <v>46388</v>
      </c>
      <c r="E221" s="6" t="n">
        <f aca="false">((01_Lease_Master!$I$15)*EXP(IF(D221&gt;=20_Escalation_Schedule!$B$32,LN(1+20_Escalation_Schedule!$D$32),0)+IF(D221&gt;=20_Escalation_Schedule!$B$33,LN(1+20_Escalation_Schedule!$D$33),0)+IF(D221&gt;=20_Escalation_Schedule!$B$34,LN(1+20_Escalation_Schedule!$D$34),0)+IF(D221&gt;=20_Escalation_Schedule!$B$35,LN(1+20_Escalation_Schedule!$D$35),0)))</f>
        <v>530450</v>
      </c>
      <c r="F221" s="1" t="s">
        <v>126</v>
      </c>
      <c r="G221" s="1" t="n">
        <f aca="false">D221-01_Lease_Master!$D$15</f>
        <v>1005</v>
      </c>
      <c r="H221" s="1" t="n">
        <f aca="false">G221/365</f>
        <v>2.75342465753425</v>
      </c>
      <c r="I221" s="1" t="n">
        <f aca="false">01_Lease_Master!$P$15</f>
        <v>0.0925</v>
      </c>
      <c r="J221" s="1" t="n">
        <f aca="false">IF(F221="NO",1,1/(1+I221)^H221)</f>
        <v>0.783807553069292</v>
      </c>
      <c r="K221" s="6" t="n">
        <f aca="false">IF(F221="NO",0,E221*J221)</f>
        <v>415770.716525606</v>
      </c>
      <c r="L221" s="1" t="str">
        <f aca="false">IF(ABS(E221-E221)&lt;=01_Lease_Master!$AI$15,"PASS","CHECK")</f>
        <v>PASS</v>
      </c>
      <c r="M221" s="1" t="s">
        <v>126</v>
      </c>
    </row>
    <row r="222" customFormat="false" ht="15" hidden="false" customHeight="true" outlineLevel="0" collapsed="false">
      <c r="A222" s="1" t="s">
        <v>104</v>
      </c>
      <c r="B222" s="1" t="n">
        <v>0</v>
      </c>
      <c r="C222" s="1" t="n">
        <v>13</v>
      </c>
      <c r="D222" s="7" t="n">
        <v>46478</v>
      </c>
      <c r="E222" s="6" t="n">
        <f aca="false">((01_Lease_Master!$I$15)*EXP(IF(D222&gt;=20_Escalation_Schedule!$B$32,LN(1+20_Escalation_Schedule!$D$32),0)+IF(D222&gt;=20_Escalation_Schedule!$B$33,LN(1+20_Escalation_Schedule!$D$33),0)+IF(D222&gt;=20_Escalation_Schedule!$B$34,LN(1+20_Escalation_Schedule!$D$34),0)+IF(D222&gt;=20_Escalation_Schedule!$B$35,LN(1+20_Escalation_Schedule!$D$35),0)))</f>
        <v>546363.5</v>
      </c>
      <c r="F222" s="1" t="s">
        <v>126</v>
      </c>
      <c r="G222" s="1" t="n">
        <f aca="false">D222-01_Lease_Master!$D$15</f>
        <v>1095</v>
      </c>
      <c r="H222" s="1" t="n">
        <f aca="false">G222/365</f>
        <v>3</v>
      </c>
      <c r="I222" s="1" t="n">
        <f aca="false">01_Lease_Master!$P$15</f>
        <v>0.0925</v>
      </c>
      <c r="J222" s="1" t="n">
        <f aca="false">IF(F222="NO",1,1/(1+I222)^H222)</f>
        <v>0.766894570557793</v>
      </c>
      <c r="K222" s="6" t="n">
        <f aca="false">IF(F222="NO",0,E222*J222)</f>
        <v>419003.201700953</v>
      </c>
      <c r="L222" s="1" t="str">
        <f aca="false">IF(ABS(E222-E222)&lt;=01_Lease_Master!$AI$15,"PASS","CHECK")</f>
        <v>PASS</v>
      </c>
      <c r="M222" s="1" t="s">
        <v>126</v>
      </c>
    </row>
    <row r="223" customFormat="false" ht="15" hidden="false" customHeight="true" outlineLevel="0" collapsed="false">
      <c r="A223" s="1" t="s">
        <v>104</v>
      </c>
      <c r="B223" s="1" t="n">
        <v>0</v>
      </c>
      <c r="C223" s="1" t="n">
        <v>14</v>
      </c>
      <c r="D223" s="7" t="n">
        <v>46569</v>
      </c>
      <c r="E223" s="6" t="n">
        <f aca="false">((01_Lease_Master!$I$15)*EXP(IF(D223&gt;=20_Escalation_Schedule!$B$32,LN(1+20_Escalation_Schedule!$D$32),0)+IF(D223&gt;=20_Escalation_Schedule!$B$33,LN(1+20_Escalation_Schedule!$D$33),0)+IF(D223&gt;=20_Escalation_Schedule!$B$34,LN(1+20_Escalation_Schedule!$D$34),0)+IF(D223&gt;=20_Escalation_Schedule!$B$35,LN(1+20_Escalation_Schedule!$D$35),0)))</f>
        <v>546363.5</v>
      </c>
      <c r="F223" s="1" t="s">
        <v>126</v>
      </c>
      <c r="G223" s="1" t="n">
        <f aca="false">D223-01_Lease_Master!$D$15</f>
        <v>1186</v>
      </c>
      <c r="H223" s="1" t="n">
        <f aca="false">G223/365</f>
        <v>3.24931506849315</v>
      </c>
      <c r="I223" s="1" t="n">
        <f aca="false">01_Lease_Master!$P$15</f>
        <v>0.0925</v>
      </c>
      <c r="J223" s="1" t="n">
        <f aca="false">IF(F223="NO",1,1/(1+I223)^H223)</f>
        <v>0.750164689171358</v>
      </c>
      <c r="K223" s="6" t="n">
        <f aca="false">IF(F223="NO",0,E223*J223)</f>
        <v>409862.605152075</v>
      </c>
      <c r="L223" s="1" t="str">
        <f aca="false">IF(ABS(E223-E223)&lt;=01_Lease_Master!$AI$15,"PASS","CHECK")</f>
        <v>PASS</v>
      </c>
      <c r="M223" s="1" t="s">
        <v>126</v>
      </c>
    </row>
    <row r="224" customFormat="false" ht="15" hidden="false" customHeight="true" outlineLevel="0" collapsed="false">
      <c r="A224" s="1" t="s">
        <v>104</v>
      </c>
      <c r="B224" s="1" t="n">
        <v>0</v>
      </c>
      <c r="C224" s="1" t="n">
        <v>15</v>
      </c>
      <c r="D224" s="7" t="n">
        <v>46661</v>
      </c>
      <c r="E224" s="6" t="n">
        <f aca="false">((01_Lease_Master!$I$15)*EXP(IF(D224&gt;=20_Escalation_Schedule!$B$32,LN(1+20_Escalation_Schedule!$D$32),0)+IF(D224&gt;=20_Escalation_Schedule!$B$33,LN(1+20_Escalation_Schedule!$D$33),0)+IF(D224&gt;=20_Escalation_Schedule!$B$34,LN(1+20_Escalation_Schedule!$D$34),0)+IF(D224&gt;=20_Escalation_Schedule!$B$35,LN(1+20_Escalation_Schedule!$D$35),0)))</f>
        <v>546363.5</v>
      </c>
      <c r="F224" s="1" t="s">
        <v>126</v>
      </c>
      <c r="G224" s="1" t="n">
        <f aca="false">D224-01_Lease_Master!$D$15</f>
        <v>1278</v>
      </c>
      <c r="H224" s="1" t="n">
        <f aca="false">G224/365</f>
        <v>3.5013698630137</v>
      </c>
      <c r="I224" s="1" t="n">
        <f aca="false">01_Lease_Master!$P$15</f>
        <v>0.0925</v>
      </c>
      <c r="J224" s="1" t="n">
        <f aca="false">IF(F224="NO",1,1/(1+I224)^H224)</f>
        <v>0.733621935081273</v>
      </c>
      <c r="K224" s="6" t="n">
        <f aca="false">IF(F224="NO",0,E224*J224)</f>
        <v>400824.248127777</v>
      </c>
      <c r="L224" s="1" t="str">
        <f aca="false">IF(ABS(E224-E224)&lt;=01_Lease_Master!$AI$15,"PASS","CHECK")</f>
        <v>PASS</v>
      </c>
      <c r="M224" s="1" t="s">
        <v>126</v>
      </c>
    </row>
    <row r="225" customFormat="false" ht="15" hidden="false" customHeight="true" outlineLevel="0" collapsed="false">
      <c r="A225" s="1" t="s">
        <v>104</v>
      </c>
      <c r="B225" s="1" t="n">
        <v>0</v>
      </c>
      <c r="C225" s="1" t="n">
        <v>16</v>
      </c>
      <c r="D225" s="7" t="n">
        <v>46753</v>
      </c>
      <c r="E225" s="6" t="n">
        <f aca="false">((01_Lease_Master!$I$15)*EXP(IF(D225&gt;=20_Escalation_Schedule!$B$32,LN(1+20_Escalation_Schedule!$D$32),0)+IF(D225&gt;=20_Escalation_Schedule!$B$33,LN(1+20_Escalation_Schedule!$D$33),0)+IF(D225&gt;=20_Escalation_Schedule!$B$34,LN(1+20_Escalation_Schedule!$D$34),0)+IF(D225&gt;=20_Escalation_Schedule!$B$35,LN(1+20_Escalation_Schedule!$D$35),0)))</f>
        <v>546363.5</v>
      </c>
      <c r="F225" s="1" t="s">
        <v>126</v>
      </c>
      <c r="G225" s="1" t="n">
        <f aca="false">D225-01_Lease_Master!$D$15</f>
        <v>1370</v>
      </c>
      <c r="H225" s="1" t="n">
        <f aca="false">G225/365</f>
        <v>3.75342465753425</v>
      </c>
      <c r="I225" s="1" t="n">
        <f aca="false">01_Lease_Master!$P$15</f>
        <v>0.0925</v>
      </c>
      <c r="J225" s="1" t="n">
        <f aca="false">IF(F225="NO",1,1/(1+I225)^H225)</f>
        <v>0.717443984502785</v>
      </c>
      <c r="K225" s="6" t="n">
        <f aca="false">IF(F225="NO",0,E225*J225)</f>
        <v>391985.206426887</v>
      </c>
      <c r="L225" s="1" t="str">
        <f aca="false">IF(ABS(E225-E225)&lt;=01_Lease_Master!$AI$15,"PASS","CHECK")</f>
        <v>PASS</v>
      </c>
      <c r="M225" s="1" t="s">
        <v>126</v>
      </c>
    </row>
    <row r="226" customFormat="false" ht="15" hidden="false" customHeight="true" outlineLevel="0" collapsed="false">
      <c r="A226" s="1" t="s">
        <v>104</v>
      </c>
      <c r="B226" s="1" t="n">
        <v>0</v>
      </c>
      <c r="C226" s="1" t="n">
        <v>17</v>
      </c>
      <c r="D226" s="7" t="n">
        <v>46844</v>
      </c>
      <c r="E226" s="6" t="n">
        <f aca="false">((01_Lease_Master!$I$15)*EXP(IF(D226&gt;=20_Escalation_Schedule!$B$32,LN(1+20_Escalation_Schedule!$D$32),0)+IF(D226&gt;=20_Escalation_Schedule!$B$33,LN(1+20_Escalation_Schedule!$D$33),0)+IF(D226&gt;=20_Escalation_Schedule!$B$34,LN(1+20_Escalation_Schedule!$D$34),0)+IF(D226&gt;=20_Escalation_Schedule!$B$35,LN(1+20_Escalation_Schedule!$D$35),0)))</f>
        <v>562754.405</v>
      </c>
      <c r="F226" s="1" t="s">
        <v>126</v>
      </c>
      <c r="G226" s="1" t="n">
        <f aca="false">D226-01_Lease_Master!$D$15</f>
        <v>1461</v>
      </c>
      <c r="H226" s="1" t="n">
        <f aca="false">G226/365</f>
        <v>4.0027397260274</v>
      </c>
      <c r="I226" s="1" t="n">
        <f aca="false">01_Lease_Master!$P$15</f>
        <v>0.0925</v>
      </c>
      <c r="J226" s="1" t="n">
        <f aca="false">IF(F226="NO",1,1/(1+I226)^H226)</f>
        <v>0.701792872573001</v>
      </c>
      <c r="K226" s="6" t="n">
        <f aca="false">IF(F226="NO",0,E226*J226)</f>
        <v>394937.03043806</v>
      </c>
      <c r="L226" s="1" t="str">
        <f aca="false">IF(ABS(E226-E226)&lt;=01_Lease_Master!$AI$15,"PASS","CHECK")</f>
        <v>PASS</v>
      </c>
      <c r="M226" s="1" t="s">
        <v>126</v>
      </c>
    </row>
    <row r="227" customFormat="false" ht="15" hidden="false" customHeight="true" outlineLevel="0" collapsed="false">
      <c r="A227" s="1" t="s">
        <v>104</v>
      </c>
      <c r="B227" s="1" t="n">
        <v>0</v>
      </c>
      <c r="C227" s="1" t="n">
        <v>18</v>
      </c>
      <c r="D227" s="7" t="n">
        <v>46935</v>
      </c>
      <c r="E227" s="6" t="n">
        <f aca="false">((01_Lease_Master!$I$15)*EXP(IF(D227&gt;=20_Escalation_Schedule!$B$32,LN(1+20_Escalation_Schedule!$D$32),0)+IF(D227&gt;=20_Escalation_Schedule!$B$33,LN(1+20_Escalation_Schedule!$D$33),0)+IF(D227&gt;=20_Escalation_Schedule!$B$34,LN(1+20_Escalation_Schedule!$D$34),0)+IF(D227&gt;=20_Escalation_Schedule!$B$35,LN(1+20_Escalation_Schedule!$D$35),0)))</f>
        <v>562754.405</v>
      </c>
      <c r="F227" s="1" t="s">
        <v>126</v>
      </c>
      <c r="G227" s="1" t="n">
        <f aca="false">D227-01_Lease_Master!$D$15</f>
        <v>1552</v>
      </c>
      <c r="H227" s="1" t="n">
        <f aca="false">G227/365</f>
        <v>4.25205479452055</v>
      </c>
      <c r="I227" s="1" t="n">
        <f aca="false">01_Lease_Master!$P$15</f>
        <v>0.0925</v>
      </c>
      <c r="J227" s="1" t="n">
        <f aca="false">IF(F227="NO",1,1/(1+I227)^H227)</f>
        <v>0.686483191207735</v>
      </c>
      <c r="K227" s="6" t="n">
        <f aca="false">IF(F227="NO",0,E227*J227)</f>
        <v>386321.43981061</v>
      </c>
      <c r="L227" s="1" t="str">
        <f aca="false">IF(ABS(E227-E227)&lt;=01_Lease_Master!$AI$15,"PASS","CHECK")</f>
        <v>PASS</v>
      </c>
      <c r="M227" s="1" t="s">
        <v>126</v>
      </c>
    </row>
    <row r="228" customFormat="false" ht="15" hidden="false" customHeight="true" outlineLevel="0" collapsed="false">
      <c r="A228" s="1" t="s">
        <v>104</v>
      </c>
      <c r="B228" s="1" t="n">
        <v>0</v>
      </c>
      <c r="C228" s="1" t="n">
        <v>19</v>
      </c>
      <c r="D228" s="7" t="n">
        <v>47027</v>
      </c>
      <c r="E228" s="6" t="n">
        <f aca="false">((01_Lease_Master!$I$15)*EXP(IF(D228&gt;=20_Escalation_Schedule!$B$32,LN(1+20_Escalation_Schedule!$D$32),0)+IF(D228&gt;=20_Escalation_Schedule!$B$33,LN(1+20_Escalation_Schedule!$D$33),0)+IF(D228&gt;=20_Escalation_Schedule!$B$34,LN(1+20_Escalation_Schedule!$D$34),0)+IF(D228&gt;=20_Escalation_Schedule!$B$35,LN(1+20_Escalation_Schedule!$D$35),0)))</f>
        <v>562754.405</v>
      </c>
      <c r="F228" s="1" t="s">
        <v>126</v>
      </c>
      <c r="G228" s="1" t="n">
        <f aca="false">D228-01_Lease_Master!$D$15</f>
        <v>1644</v>
      </c>
      <c r="H228" s="1" t="n">
        <f aca="false">G228/365</f>
        <v>4.5041095890411</v>
      </c>
      <c r="I228" s="1" t="n">
        <f aca="false">01_Lease_Master!$P$15</f>
        <v>0.0925</v>
      </c>
      <c r="J228" s="1" t="n">
        <f aca="false">IF(F228="NO",1,1/(1+I228)^H228)</f>
        <v>0.671344751898267</v>
      </c>
      <c r="K228" s="6" t="n">
        <f aca="false">IF(F228="NO",0,E228*J228)</f>
        <v>377802.216404382</v>
      </c>
      <c r="L228" s="1" t="str">
        <f aca="false">IF(ABS(E228-E228)&lt;=01_Lease_Master!$AI$15,"PASS","CHECK")</f>
        <v>PASS</v>
      </c>
      <c r="M228" s="1" t="s">
        <v>126</v>
      </c>
    </row>
    <row r="229" customFormat="false" ht="15" hidden="false" customHeight="true" outlineLevel="0" collapsed="false">
      <c r="A229" s="1" t="s">
        <v>104</v>
      </c>
      <c r="B229" s="1" t="n">
        <v>0</v>
      </c>
      <c r="C229" s="1" t="n">
        <v>20</v>
      </c>
      <c r="D229" s="7" t="n">
        <v>47119</v>
      </c>
      <c r="E229" s="6" t="n">
        <f aca="false">((01_Lease_Master!$I$15)*EXP(IF(D229&gt;=20_Escalation_Schedule!$B$32,LN(1+20_Escalation_Schedule!$D$32),0)+IF(D229&gt;=20_Escalation_Schedule!$B$33,LN(1+20_Escalation_Schedule!$D$33),0)+IF(D229&gt;=20_Escalation_Schedule!$B$34,LN(1+20_Escalation_Schedule!$D$34),0)+IF(D229&gt;=20_Escalation_Schedule!$B$35,LN(1+20_Escalation_Schedule!$D$35),0)))</f>
        <v>562754.405</v>
      </c>
      <c r="F229" s="1" t="s">
        <v>126</v>
      </c>
      <c r="G229" s="1" t="n">
        <f aca="false">D229-01_Lease_Master!$D$15</f>
        <v>1736</v>
      </c>
      <c r="H229" s="1" t="n">
        <f aca="false">G229/365</f>
        <v>4.75616438356164</v>
      </c>
      <c r="I229" s="1" t="n">
        <f aca="false">01_Lease_Master!$P$15</f>
        <v>0.0925</v>
      </c>
      <c r="J229" s="1" t="n">
        <f aca="false">IF(F229="NO",1,1/(1+I229)^H229)</f>
        <v>0.656540147921786</v>
      </c>
      <c r="K229" s="6" t="n">
        <f aca="false">IF(F229="NO",0,E229*J229)</f>
        <v>369470.860302337</v>
      </c>
      <c r="L229" s="1" t="str">
        <f aca="false">IF(ABS(E229-E229)&lt;=01_Lease_Master!$AI$15,"PASS","CHECK")</f>
        <v>PASS</v>
      </c>
      <c r="M229" s="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45"/>
    <col collapsed="false" customWidth="true" hidden="false" outlineLevel="0" max="5" min="4" style="1" width="26"/>
    <col collapsed="false" customWidth="true" hidden="false" outlineLevel="0" max="6" min="6" style="1" width="27"/>
    <col collapsed="false" customWidth="true" hidden="false" outlineLevel="0" max="7" min="7" style="1" width="26"/>
    <col collapsed="false" customWidth="true" hidden="false" outlineLevel="0" max="8" min="8" style="1" width="45"/>
    <col collapsed="false" customWidth="true" hidden="false" outlineLevel="0" max="9" min="9" style="1" width="30"/>
    <col collapsed="false" customWidth="true" hidden="false" outlineLevel="0" max="11" min="10" style="1" width="45"/>
  </cols>
  <sheetData>
    <row r="1" customFormat="false" ht="17.25" hidden="false" customHeight="true" outlineLevel="0" collapsed="false">
      <c r="A1" s="2" t="s">
        <v>128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129</v>
      </c>
      <c r="C5" s="4" t="s">
        <v>130</v>
      </c>
      <c r="D5" s="4" t="s">
        <v>45</v>
      </c>
      <c r="E5" s="4" t="s">
        <v>46</v>
      </c>
      <c r="F5" s="4" t="s">
        <v>131</v>
      </c>
      <c r="G5" s="4" t="s">
        <v>48</v>
      </c>
      <c r="H5" s="4" t="s">
        <v>132</v>
      </c>
      <c r="I5" s="4" t="s">
        <v>133</v>
      </c>
      <c r="J5" s="4" t="s">
        <v>124</v>
      </c>
      <c r="K5" s="4" t="s">
        <v>134</v>
      </c>
    </row>
    <row r="6" customFormat="false" ht="15" hidden="false" customHeight="true" outlineLevel="0" collapsed="false">
      <c r="A6" s="1" t="s">
        <v>65</v>
      </c>
      <c r="B6" s="6" t="n">
        <f aca="false">SUMIF(02_Payment_Schedule!A:A,A6,02_Payment_Schedule!K:K)</f>
        <v>5574738.88803275</v>
      </c>
      <c r="C6" s="1" t="n">
        <f aca="false">SUMIFS(02_Payment_Schedule!E:E,02_Payment_Schedule!A:A,A6,02_Payment_Schedule!F:F,"NO")</f>
        <v>0</v>
      </c>
      <c r="D6" s="6" t="n">
        <f aca="false">01_Lease_Master!$Q$6</f>
        <v>0</v>
      </c>
      <c r="E6" s="6" t="n">
        <f aca="false">01_Lease_Master!$R$6</f>
        <v>50000</v>
      </c>
      <c r="F6" s="6" t="n">
        <f aca="false">01_Lease_Master!$AG$6</f>
        <v>544466.557627002</v>
      </c>
      <c r="G6" s="6" t="n">
        <f aca="false">01_Lease_Master!$T$6</f>
        <v>0</v>
      </c>
      <c r="H6" s="1" t="n">
        <f aca="false">IF(01_Lease_Master!$U$6&gt;0,01_Lease_Master!$U$6-ROUND(01_Lease_Master!$U$6/((1+01_Lease_Master!$W$6)^((01_Lease_Master!$V$6-01_Lease_Master!$D$6)/365)),2),0)</f>
        <v>75822.55</v>
      </c>
      <c r="I6" s="6" t="n">
        <f aca="false">B6+C6+D6+E6+F6-G6+H6</f>
        <v>6245027.99565976</v>
      </c>
      <c r="J6" s="1" t="str">
        <f aca="false">IF(ABS(I6-6245028)&lt;=0.01,"PASS","CHECK")</f>
        <v>PASS</v>
      </c>
      <c r="K6" s="1" t="s">
        <v>135</v>
      </c>
    </row>
    <row r="7" customFormat="false" ht="15" hidden="false" customHeight="true" outlineLevel="0" collapsed="false">
      <c r="A7" s="1" t="s">
        <v>74</v>
      </c>
      <c r="B7" s="6" t="n">
        <f aca="false">SUMIF(02_Payment_Schedule!A:A,A7,02_Payment_Schedule!K:K)</f>
        <v>8841059.59918211</v>
      </c>
      <c r="C7" s="1" t="n">
        <f aca="false">SUMIFS(02_Payment_Schedule!E:E,02_Payment_Schedule!A:A,A7,02_Payment_Schedule!F:F,"NO")</f>
        <v>450000</v>
      </c>
      <c r="D7" s="6" t="n">
        <f aca="false">01_Lease_Master!$Q$7</f>
        <v>0</v>
      </c>
      <c r="E7" s="6" t="n">
        <f aca="false">01_Lease_Master!$R$7</f>
        <v>0</v>
      </c>
      <c r="F7" s="6" t="n">
        <f aca="false">01_Lease_Master!$AG$7</f>
        <v>178837.968848169</v>
      </c>
      <c r="G7" s="6" t="n">
        <f aca="false">01_Lease_Master!$T$7</f>
        <v>75000</v>
      </c>
      <c r="H7" s="1" t="n">
        <f aca="false">IF(01_Lease_Master!$U$7&gt;0,01_Lease_Master!$U$7-ROUND(01_Lease_Master!$U$7/((1+01_Lease_Master!$W$7)^((01_Lease_Master!$V$7-01_Lease_Master!$D$7)/365)),2),0)</f>
        <v>44272.8</v>
      </c>
      <c r="I7" s="6" t="n">
        <f aca="false">B7+C7+D7+E7+F7-G7+H7</f>
        <v>9439170.36803028</v>
      </c>
      <c r="J7" s="1" t="str">
        <f aca="false">IF(ABS(I7-9439170.37)&lt;=0.01,"PASS","CHECK")</f>
        <v>PASS</v>
      </c>
      <c r="K7" s="1" t="s">
        <v>135</v>
      </c>
    </row>
    <row r="8" customFormat="false" ht="15" hidden="false" customHeight="true" outlineLevel="0" collapsed="false">
      <c r="A8" s="1" t="s">
        <v>80</v>
      </c>
      <c r="B8" s="6" t="n">
        <f aca="false">SUMIF(02_Payment_Schedule!A:A,A8,02_Payment_Schedule!K:K)</f>
        <v>784264.975377529</v>
      </c>
      <c r="C8" s="1" t="n">
        <f aca="false">SUMIFS(02_Payment_Schedule!E:E,02_Payment_Schedule!A:A,A8,02_Payment_Schedule!F:F,"NO")</f>
        <v>0</v>
      </c>
      <c r="D8" s="6" t="n">
        <f aca="false">01_Lease_Master!$Q$8</f>
        <v>0</v>
      </c>
      <c r="E8" s="6" t="n">
        <f aca="false">01_Lease_Master!$R$8</f>
        <v>25000</v>
      </c>
      <c r="F8" s="6" t="n">
        <f aca="false">01_Lease_Master!$AG$8</f>
        <v>340291.598516876</v>
      </c>
      <c r="G8" s="6" t="n">
        <f aca="false">01_Lease_Master!$T$8</f>
        <v>0</v>
      </c>
      <c r="H8" s="1" t="n">
        <f aca="false">IF(01_Lease_Master!$U$8&gt;0,01_Lease_Master!$U$8-ROUND(01_Lease_Master!$U$8/((1+01_Lease_Master!$W$8)^((01_Lease_Master!$V$8-01_Lease_Master!$D$8)/365)),2),0)</f>
        <v>50548.37</v>
      </c>
      <c r="I8" s="6" t="n">
        <f aca="false">B8+C8+D8+E8+F8-G8+H8</f>
        <v>1200104.94389441</v>
      </c>
      <c r="J8" s="1" t="str">
        <f aca="false">IF(ABS(I8-1200104.94)&lt;=0.01,"PASS","CHECK")</f>
        <v>PASS</v>
      </c>
      <c r="K8" s="1" t="s">
        <v>135</v>
      </c>
    </row>
    <row r="9" customFormat="false" ht="15" hidden="false" customHeight="true" outlineLevel="0" collapsed="false">
      <c r="A9" s="1" t="s">
        <v>84</v>
      </c>
      <c r="B9" s="6" t="n">
        <f aca="false">SUMIF(02_Payment_Schedule!A:A,A9,02_Payment_Schedule!K:K)</f>
        <v>1652805.49626747</v>
      </c>
      <c r="C9" s="1" t="n">
        <f aca="false">SUMIFS(02_Payment_Schedule!E:E,02_Payment_Schedule!A:A,A9,02_Payment_Schedule!F:F,"NO")</f>
        <v>0</v>
      </c>
      <c r="D9" s="6" t="n">
        <f aca="false">01_Lease_Master!$Q$9</f>
        <v>0</v>
      </c>
      <c r="E9" s="6" t="n">
        <f aca="false">01_Lease_Master!$R$9</f>
        <v>0</v>
      </c>
      <c r="F9" s="6" t="n">
        <f aca="false">01_Lease_Master!$AG$9</f>
        <v>0</v>
      </c>
      <c r="G9" s="6" t="n">
        <f aca="false">01_Lease_Master!$T$9</f>
        <v>0</v>
      </c>
      <c r="H9" s="1" t="n">
        <f aca="false">IF(01_Lease_Master!$U$9&gt;0,01_Lease_Master!$U$9-ROUND(01_Lease_Master!$U$9/((1+01_Lease_Master!$W$9)^((01_Lease_Master!$V$9-01_Lease_Master!$D$9)/365)),2),0)</f>
        <v>0</v>
      </c>
      <c r="I9" s="6" t="n">
        <f aca="false">B9+C9+D9+E9+F9-G9+H9</f>
        <v>1652805.49626747</v>
      </c>
      <c r="J9" s="1" t="str">
        <f aca="false">IF(ABS(I9-1652805.5)&lt;=0.01,"PASS","CHECK")</f>
        <v>PASS</v>
      </c>
      <c r="K9" s="1" t="s">
        <v>135</v>
      </c>
    </row>
    <row r="10" customFormat="false" ht="15" hidden="false" customHeight="true" outlineLevel="0" collapsed="false">
      <c r="A10" s="1" t="s">
        <v>88</v>
      </c>
      <c r="B10" s="6" t="n">
        <f aca="false">SUMIF(02_Payment_Schedule!A:A,A10,02_Payment_Schedule!K:K)</f>
        <v>4902114.65847224</v>
      </c>
      <c r="C10" s="1" t="n">
        <f aca="false">SUMIFS(02_Payment_Schedule!E:E,02_Payment_Schedule!A:A,A10,02_Payment_Schedule!F:F,"NO")</f>
        <v>300000</v>
      </c>
      <c r="D10" s="6" t="n">
        <f aca="false">01_Lease_Master!$Q$10</f>
        <v>0</v>
      </c>
      <c r="E10" s="6" t="n">
        <f aca="false">01_Lease_Master!$R$10</f>
        <v>10000</v>
      </c>
      <c r="F10" s="6" t="n">
        <f aca="false">01_Lease_Master!$AG$10</f>
        <v>166224.19942874</v>
      </c>
      <c r="G10" s="6" t="n">
        <f aca="false">01_Lease_Master!$T$10</f>
        <v>0</v>
      </c>
      <c r="H10" s="1" t="n">
        <f aca="false">IF(01_Lease_Master!$U$10&gt;0,01_Lease_Master!$U$10-ROUND(01_Lease_Master!$U$10/((1+01_Lease_Master!$W$10)^((01_Lease_Master!$V$10-01_Lease_Master!$D$10)/365)),2),0)</f>
        <v>25286.11</v>
      </c>
      <c r="I10" s="6" t="n">
        <f aca="false">B10+C10+D10+E10+F10-G10+H10</f>
        <v>5403624.96790098</v>
      </c>
      <c r="J10" s="1" t="str">
        <f aca="false">IF(ABS(I10-5403624.97)&lt;=0.01,"PASS","CHECK")</f>
        <v>PASS</v>
      </c>
      <c r="K10" s="1" t="s">
        <v>135</v>
      </c>
    </row>
    <row r="11" customFormat="false" ht="15" hidden="false" customHeight="true" outlineLevel="0" collapsed="false">
      <c r="A11" s="1" t="s">
        <v>91</v>
      </c>
      <c r="B11" s="6" t="n">
        <f aca="false">SUMIF(02_Payment_Schedule!A:A,A11,02_Payment_Schedule!K:K)</f>
        <v>3406262.77890827</v>
      </c>
      <c r="C11" s="1" t="n">
        <f aca="false">SUMIFS(02_Payment_Schedule!E:E,02_Payment_Schedule!A:A,A11,02_Payment_Schedule!F:F,"NO")</f>
        <v>0</v>
      </c>
      <c r="D11" s="6" t="n">
        <f aca="false">01_Lease_Master!$Q$11</f>
        <v>0</v>
      </c>
      <c r="E11" s="6" t="n">
        <f aca="false">01_Lease_Master!$R$11</f>
        <v>0</v>
      </c>
      <c r="F11" s="6" t="n">
        <f aca="false">01_Lease_Master!$AG$11</f>
        <v>112320.079466456</v>
      </c>
      <c r="G11" s="6" t="n">
        <f aca="false">01_Lease_Master!$T$11</f>
        <v>30000</v>
      </c>
      <c r="H11" s="1" t="n">
        <f aca="false">IF(01_Lease_Master!$U$11&gt;0,01_Lease_Master!$U$11-ROUND(01_Lease_Master!$U$11/((1+01_Lease_Master!$W$11)^((01_Lease_Master!$V$11-01_Lease_Master!$D$11)/365)),2),0)</f>
        <v>0</v>
      </c>
      <c r="I11" s="6" t="n">
        <f aca="false">B11+C11+D11+E11+F11-G11+H11</f>
        <v>3488582.85837473</v>
      </c>
      <c r="J11" s="1" t="str">
        <f aca="false">IF(ABS(I11-3488582.86)&lt;=0.01,"PASS","CHECK")</f>
        <v>PASS</v>
      </c>
      <c r="K11" s="1" t="s">
        <v>135</v>
      </c>
    </row>
    <row r="12" customFormat="false" ht="15" hidden="false" customHeight="true" outlineLevel="0" collapsed="false">
      <c r="A12" s="1" t="s">
        <v>94</v>
      </c>
      <c r="B12" s="6" t="n">
        <f aca="false">SUMIF(02_Payment_Schedule!A:A,A12,02_Payment_Schedule!K:K)</f>
        <v>1927065.38824619</v>
      </c>
      <c r="C12" s="1" t="n">
        <f aca="false">SUMIFS(02_Payment_Schedule!E:E,02_Payment_Schedule!A:A,A12,02_Payment_Schedule!F:F,"NO")</f>
        <v>0</v>
      </c>
      <c r="D12" s="6" t="n">
        <f aca="false">01_Lease_Master!$Q$12</f>
        <v>0</v>
      </c>
      <c r="E12" s="6" t="n">
        <f aca="false">01_Lease_Master!$R$12</f>
        <v>0</v>
      </c>
      <c r="F12" s="6" t="n">
        <f aca="false">01_Lease_Master!$AG$12</f>
        <v>259972.554519338</v>
      </c>
      <c r="G12" s="6" t="n">
        <f aca="false">01_Lease_Master!$T$12</f>
        <v>0</v>
      </c>
      <c r="H12" s="1" t="n">
        <f aca="false">IF(01_Lease_Master!$U$12&gt;0,01_Lease_Master!$U$12-ROUND(01_Lease_Master!$U$12/((1+01_Lease_Master!$W$12)^((01_Lease_Master!$V$12-01_Lease_Master!$D$12)/365)),2),0)</f>
        <v>63185.46</v>
      </c>
      <c r="I12" s="6" t="n">
        <f aca="false">B12+C12+D12+E12+F12-G12+H12</f>
        <v>2250223.40276553</v>
      </c>
      <c r="J12" s="1" t="str">
        <f aca="false">IF(ABS(I12-2250223.4)&lt;=0.01,"PASS","CHECK")</f>
        <v>PASS</v>
      </c>
      <c r="K12" s="1" t="s">
        <v>135</v>
      </c>
    </row>
    <row r="13" customFormat="false" ht="15" hidden="false" customHeight="true" outlineLevel="0" collapsed="false">
      <c r="A13" s="1" t="s">
        <v>97</v>
      </c>
      <c r="B13" s="6" t="n">
        <f aca="false">SUMIF(02_Payment_Schedule!A:A,A13,02_Payment_Schedule!K:K)</f>
        <v>58951.2706803806</v>
      </c>
      <c r="C13" s="1" t="n">
        <f aca="false">SUMIFS(02_Payment_Schedule!E:E,02_Payment_Schedule!A:A,A13,02_Payment_Schedule!F:F,"NO")</f>
        <v>18000</v>
      </c>
      <c r="D13" s="6" t="n">
        <f aca="false">01_Lease_Master!$Q$13</f>
        <v>0</v>
      </c>
      <c r="E13" s="6" t="n">
        <f aca="false">01_Lease_Master!$R$13</f>
        <v>0</v>
      </c>
      <c r="F13" s="6" t="n">
        <f aca="false">01_Lease_Master!$AG$13</f>
        <v>0</v>
      </c>
      <c r="G13" s="6" t="n">
        <f aca="false">01_Lease_Master!$T$13</f>
        <v>0</v>
      </c>
      <c r="H13" s="1" t="n">
        <f aca="false">IF(01_Lease_Master!$U$13&gt;0,01_Lease_Master!$U$13-ROUND(01_Lease_Master!$U$13/((1+01_Lease_Master!$W$13)^((01_Lease_Master!$V$13-01_Lease_Master!$D$13)/365)),2),0)</f>
        <v>0</v>
      </c>
      <c r="I13" s="6" t="n">
        <f aca="false">B13+C13+D13+E13+F13-G13+H13</f>
        <v>76951.2706803806</v>
      </c>
      <c r="J13" s="1" t="str">
        <f aca="false">IF(ABS(I13-76951.27)&lt;=0.01,"PASS","CHECK")</f>
        <v>PASS</v>
      </c>
      <c r="K13" s="1" t="s">
        <v>135</v>
      </c>
    </row>
    <row r="14" customFormat="false" ht="15" hidden="false" customHeight="true" outlineLevel="0" collapsed="false">
      <c r="A14" s="1" t="s">
        <v>101</v>
      </c>
      <c r="B14" s="6" t="n">
        <f aca="false">SUMIF(02_Payment_Schedule!A:A,A14,02_Payment_Schedule!K:K)</f>
        <v>4476019.37346525</v>
      </c>
      <c r="C14" s="1" t="n">
        <f aca="false">SUMIFS(02_Payment_Schedule!E:E,02_Payment_Schedule!A:A,A14,02_Payment_Schedule!F:F,"NO")</f>
        <v>0</v>
      </c>
      <c r="D14" s="6" t="n">
        <f aca="false">01_Lease_Master!$Q$14</f>
        <v>0</v>
      </c>
      <c r="E14" s="6" t="n">
        <f aca="false">01_Lease_Master!$R$14</f>
        <v>0</v>
      </c>
      <c r="F14" s="6" t="n">
        <f aca="false">01_Lease_Master!$AG$14</f>
        <v>425055.126639118</v>
      </c>
      <c r="G14" s="6" t="n">
        <f aca="false">01_Lease_Master!$T$14</f>
        <v>50000</v>
      </c>
      <c r="H14" s="1" t="n">
        <f aca="false">IF(01_Lease_Master!$U$14&gt;0,01_Lease_Master!$U$14-ROUND(01_Lease_Master!$U$14/((1+01_Lease_Master!$W$14)^((01_Lease_Master!$V$14-01_Lease_Master!$D$14)/365)),2),0)</f>
        <v>20790.63</v>
      </c>
      <c r="I14" s="6" t="n">
        <f aca="false">B14+C14+D14+E14+F14-G14+H14</f>
        <v>4871865.13010437</v>
      </c>
      <c r="J14" s="1" t="str">
        <f aca="false">IF(ABS(I14-4871865.13)&lt;=0.01,"PASS","CHECK")</f>
        <v>PASS</v>
      </c>
      <c r="K14" s="1" t="s">
        <v>135</v>
      </c>
    </row>
    <row r="15" customFormat="false" ht="15" hidden="false" customHeight="true" outlineLevel="0" collapsed="false">
      <c r="A15" s="1" t="s">
        <v>104</v>
      </c>
      <c r="B15" s="6" t="n">
        <f aca="false">SUMIF(02_Payment_Schedule!A:A,A15,02_Payment_Schedule!K:K)</f>
        <v>8629894.79536913</v>
      </c>
      <c r="C15" s="1" t="n">
        <f aca="false">SUMIFS(02_Payment_Schedule!E:E,02_Payment_Schedule!A:A,A15,02_Payment_Schedule!F:F,"NO")</f>
        <v>0</v>
      </c>
      <c r="D15" s="6" t="n">
        <f aca="false">01_Lease_Master!$Q$15</f>
        <v>0</v>
      </c>
      <c r="E15" s="6" t="n">
        <f aca="false">01_Lease_Master!$R$15</f>
        <v>0</v>
      </c>
      <c r="F15" s="6" t="n">
        <f aca="false">01_Lease_Master!$AG$15</f>
        <v>476408.237923627</v>
      </c>
      <c r="G15" s="6" t="n">
        <f aca="false">01_Lease_Master!$T$15</f>
        <v>0</v>
      </c>
      <c r="H15" s="1" t="n">
        <f aca="false">IF(01_Lease_Master!$U$15&gt;0,01_Lease_Master!$U$15-ROUND(01_Lease_Master!$U$15/((1+01_Lease_Master!$W$15)^((01_Lease_Master!$V$15-01_Lease_Master!$D$15)/365)),2),0)</f>
        <v>50548.37</v>
      </c>
      <c r="I15" s="6" t="n">
        <f aca="false">B15+C15+D15+E15+F15-G15+H15</f>
        <v>9156851.40329276</v>
      </c>
      <c r="J15" s="1" t="str">
        <f aca="false">IF(ABS(I15-9156851.42)&lt;=0.01,"PASS","CHECK")</f>
        <v>CHECK</v>
      </c>
      <c r="K15" s="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6" min="4" style="1" width="45"/>
    <col collapsed="false" customWidth="true" hidden="false" outlineLevel="0" max="7" min="7" style="1" width="12"/>
    <col collapsed="false" customWidth="true" hidden="false" outlineLevel="0" max="8" min="8" style="1" width="21"/>
    <col collapsed="false" customWidth="true" hidden="false" outlineLevel="0" max="11" min="9" style="1" width="45"/>
  </cols>
  <sheetData>
    <row r="1" customFormat="false" ht="17.25" hidden="false" customHeight="true" outlineLevel="0" collapsed="false">
      <c r="A1" s="2" t="s">
        <v>136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116</v>
      </c>
      <c r="C5" s="4" t="s">
        <v>117</v>
      </c>
      <c r="D5" s="4" t="s">
        <v>137</v>
      </c>
      <c r="E5" s="4" t="s">
        <v>138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143</v>
      </c>
      <c r="K5" s="4" t="s">
        <v>144</v>
      </c>
    </row>
    <row r="6" customFormat="false" ht="15" hidden="false" customHeight="true" outlineLevel="0" collapsed="false">
      <c r="A6" s="1" t="s">
        <v>65</v>
      </c>
      <c r="B6" s="1" t="n">
        <v>1</v>
      </c>
      <c r="C6" s="7" t="n">
        <v>44652</v>
      </c>
      <c r="D6" s="6" t="n">
        <f aca="false">03_Initial_Recognition!$B$6</f>
        <v>5574738.88803275</v>
      </c>
      <c r="E6" s="6" t="n">
        <f aca="false">0</f>
        <v>0</v>
      </c>
      <c r="F6" s="6" t="n">
        <f aca="false">0</f>
        <v>0</v>
      </c>
      <c r="G6" s="6" t="n">
        <f aca="false">0</f>
        <v>0</v>
      </c>
      <c r="H6" s="6" t="n">
        <f aca="false">D6</f>
        <v>5574738.88803275</v>
      </c>
      <c r="I6" s="1" t="n">
        <f aca="false">C6-01_Lease_Master!$D$6</f>
        <v>0</v>
      </c>
      <c r="J6" s="6" t="n">
        <f aca="false">0</f>
        <v>0</v>
      </c>
      <c r="K6" s="1" t="str">
        <f aca="false">IF(ABS(D6+E6-F6-H6)&lt;=01_Lease_Master!$AI$6,"PASS","CHECK")</f>
        <v>PASS</v>
      </c>
    </row>
    <row r="7" customFormat="false" ht="15" hidden="false" customHeight="true" outlineLevel="0" collapsed="false">
      <c r="A7" s="1" t="s">
        <v>65</v>
      </c>
      <c r="B7" s="1" t="n">
        <v>2</v>
      </c>
      <c r="C7" s="7" t="n">
        <v>44652</v>
      </c>
      <c r="D7" s="6" t="n">
        <f aca="false">H6</f>
        <v>5574738.88803275</v>
      </c>
      <c r="E7" s="6" t="n">
        <f aca="false">D7*((1+01_Lease_Master!$P$6)^(I7/365)-1)</f>
        <v>0</v>
      </c>
      <c r="F7" s="6" t="n">
        <f aca="false">SUMIFS(02_Payment_Schedule!E:E,02_Payment_Schedule!A:A,A7,02_Payment_Schedule!D:D,C7)</f>
        <v>1200000</v>
      </c>
      <c r="G7" s="6" t="n">
        <f aca="false">F7-E7</f>
        <v>1200000</v>
      </c>
      <c r="H7" s="6" t="n">
        <f aca="false">MAX(0,D7+E7-F7)</f>
        <v>4374738.88803275</v>
      </c>
      <c r="I7" s="1" t="n">
        <f aca="false">C7-C6</f>
        <v>0</v>
      </c>
      <c r="J7" s="6" t="n">
        <f aca="false">D7*((1+01_Lease_Master!$P$6)^(I7/365)-1)</f>
        <v>0</v>
      </c>
      <c r="K7" s="1" t="str">
        <f aca="false">IF(ABS(D7+E7-F7-H7)&lt;=01_Lease_Master!$AI$6,"PASS","CHECK")</f>
        <v>PASS</v>
      </c>
    </row>
    <row r="8" customFormat="false" ht="15" hidden="false" customHeight="true" outlineLevel="0" collapsed="false">
      <c r="A8" s="1" t="s">
        <v>65</v>
      </c>
      <c r="B8" s="1" t="n">
        <v>3</v>
      </c>
      <c r="C8" s="7" t="n">
        <v>45017</v>
      </c>
      <c r="D8" s="6" t="n">
        <f aca="false">H7</f>
        <v>4374738.88803275</v>
      </c>
      <c r="E8" s="6" t="n">
        <f aca="false">D8*((1+01_Lease_Master!$P$6)^(I8/365)-1)</f>
        <v>393726.499922948</v>
      </c>
      <c r="F8" s="6" t="n">
        <f aca="false">SUMIFS(02_Payment_Schedule!E:E,02_Payment_Schedule!A:A,A8,02_Payment_Schedule!D:D,C8)</f>
        <v>1260000</v>
      </c>
      <c r="G8" s="6" t="n">
        <f aca="false">F8-E8</f>
        <v>866273.500077052</v>
      </c>
      <c r="H8" s="6" t="n">
        <f aca="false">MAX(0,D8+E8-F8)</f>
        <v>3508465.3879557</v>
      </c>
      <c r="I8" s="1" t="n">
        <f aca="false">C8-C7</f>
        <v>365</v>
      </c>
      <c r="J8" s="6" t="n">
        <f aca="false">D8*((1+01_Lease_Master!$P$6)^(I8/365)-1)</f>
        <v>393726.499922948</v>
      </c>
      <c r="K8" s="1" t="str">
        <f aca="false">IF(ABS(D8+E8-F8-H8)&lt;=01_Lease_Master!$AI$6,"PASS","CHECK")</f>
        <v>PASS</v>
      </c>
    </row>
    <row r="9" customFormat="false" ht="15" hidden="false" customHeight="true" outlineLevel="0" collapsed="false">
      <c r="A9" s="1" t="s">
        <v>65</v>
      </c>
      <c r="B9" s="1" t="n">
        <v>4</v>
      </c>
      <c r="C9" s="7" t="n">
        <v>45383</v>
      </c>
      <c r="D9" s="6" t="n">
        <f aca="false">H8</f>
        <v>3508465.3879557</v>
      </c>
      <c r="E9" s="6" t="n">
        <f aca="false">D9*((1+01_Lease_Master!$P$6)^(I9/365)-1)</f>
        <v>316664.904107257</v>
      </c>
      <c r="F9" s="6" t="n">
        <f aca="false">SUMIFS(02_Payment_Schedule!E:E,02_Payment_Schedule!A:A,A9,02_Payment_Schedule!D:D,C9)</f>
        <v>1323000</v>
      </c>
      <c r="G9" s="6" t="n">
        <f aca="false">F9-E9</f>
        <v>1006335.09589274</v>
      </c>
      <c r="H9" s="6" t="n">
        <f aca="false">MAX(0,D9+E9-F9)</f>
        <v>2502130.29206296</v>
      </c>
      <c r="I9" s="1" t="n">
        <f aca="false">C9-C8</f>
        <v>366</v>
      </c>
      <c r="J9" s="6" t="n">
        <f aca="false">D9*((1+01_Lease_Master!$P$6)^(I9/365)-1)</f>
        <v>316664.904107257</v>
      </c>
      <c r="K9" s="1" t="str">
        <f aca="false">IF(ABS(D9+E9-F9-H9)&lt;=01_Lease_Master!$AI$6,"PASS","CHECK")</f>
        <v>PASS</v>
      </c>
    </row>
    <row r="10" customFormat="false" ht="15" hidden="false" customHeight="true" outlineLevel="0" collapsed="false">
      <c r="A10" s="1" t="s">
        <v>65</v>
      </c>
      <c r="B10" s="1" t="n">
        <v>5</v>
      </c>
      <c r="C10" s="7" t="n">
        <v>45748</v>
      </c>
      <c r="D10" s="6" t="n">
        <f aca="false">H9</f>
        <v>2502130.29206296</v>
      </c>
      <c r="E10" s="6" t="n">
        <f aca="false">D10*((1+01_Lease_Master!$P$6)^(I10/365)-1)</f>
        <v>225191.726285666</v>
      </c>
      <c r="F10" s="6" t="n">
        <f aca="false">SUMIFS(02_Payment_Schedule!E:E,02_Payment_Schedule!A:A,A10,02_Payment_Schedule!D:D,C10)</f>
        <v>1389150</v>
      </c>
      <c r="G10" s="6" t="n">
        <f aca="false">F10-E10</f>
        <v>1163958.27371433</v>
      </c>
      <c r="H10" s="6" t="n">
        <f aca="false">MAX(0,D10+E10-F10)</f>
        <v>1338172.01834862</v>
      </c>
      <c r="I10" s="1" t="n">
        <f aca="false">C10-C9</f>
        <v>365</v>
      </c>
      <c r="J10" s="6" t="n">
        <f aca="false">D10*((1+01_Lease_Master!$P$6)^(I10/365)-1)</f>
        <v>225191.726285666</v>
      </c>
      <c r="K10" s="1" t="str">
        <f aca="false">IF(ABS(D10+E10-F10-H10)&lt;=01_Lease_Master!$AI$6,"PASS","CHECK")</f>
        <v>PASS</v>
      </c>
    </row>
    <row r="11" customFormat="false" ht="15" hidden="false" customHeight="true" outlineLevel="0" collapsed="false">
      <c r="A11" s="1" t="s">
        <v>65</v>
      </c>
      <c r="B11" s="1" t="n">
        <v>6</v>
      </c>
      <c r="C11" s="7" t="n">
        <v>46113</v>
      </c>
      <c r="D11" s="6" t="n">
        <f aca="false">H10</f>
        <v>1338172.01834862</v>
      </c>
      <c r="E11" s="6" t="n">
        <f aca="false">D11*((1+01_Lease_Master!$P$6)^(I11/365)-1)</f>
        <v>120435.481651376</v>
      </c>
      <c r="F11" s="6" t="n">
        <f aca="false">SUMIFS(02_Payment_Schedule!E:E,02_Payment_Schedule!A:A,A11,02_Payment_Schedule!D:D,C11)</f>
        <v>1458607.5</v>
      </c>
      <c r="G11" s="6" t="n">
        <f aca="false">F11-E11</f>
        <v>1338172.01834862</v>
      </c>
      <c r="H11" s="6" t="n">
        <f aca="false">MAX(0,D11+E11-F11)</f>
        <v>0</v>
      </c>
      <c r="I11" s="1" t="n">
        <f aca="false">C11-C10</f>
        <v>365</v>
      </c>
      <c r="J11" s="6" t="n">
        <f aca="false">D11*((1+01_Lease_Master!$P$6)^(I11/365)-1)</f>
        <v>120435.481651376</v>
      </c>
      <c r="K11" s="1" t="str">
        <f aca="false">IF(ABS(D11+E11-F11-H11)&lt;=01_Lease_Master!$AI$6,"PASS","CHECK")</f>
        <v>PASS</v>
      </c>
    </row>
    <row r="12" customFormat="false" ht="15" hidden="false" customHeight="true" outlineLevel="0" collapsed="false">
      <c r="A12" s="1" t="s">
        <v>65</v>
      </c>
      <c r="B12" s="1" t="s">
        <v>145</v>
      </c>
      <c r="C12" s="7" t="n">
        <v>46271</v>
      </c>
      <c r="D12" s="6" t="n">
        <f aca="false">IF($B$3&lt;01_Lease_Master!$D$6,0,IFERROR(LOOKUP(2,1/(A$6:A11=A12),H$6:H11),03_Initial_Recognition!$B$6))</f>
        <v>0</v>
      </c>
      <c r="E12" s="6" t="n">
        <f aca="false">IF($B$3&lt;01_Lease_Master!$D$6,0,D12*((1+01_Lease_Master!$P$6)^(I12/365)-1))</f>
        <v>0</v>
      </c>
      <c r="F12" s="6" t="n">
        <v>0</v>
      </c>
      <c r="G12" s="6" t="n">
        <v>0</v>
      </c>
      <c r="H12" s="6" t="n">
        <f aca="false">MAX(0,D12+E12)</f>
        <v>0</v>
      </c>
      <c r="I12" s="9" t="n">
        <f aca="false">IF($B$3&lt;01_Lease_Master!$D$6,0,C12-IFERROR(LOOKUP(2,1/(A$6:A11=A12),C$6:C11),01_Lease_Master!$D$6))</f>
        <v>158</v>
      </c>
      <c r="J12" s="6" t="n">
        <f aca="false">E12</f>
        <v>0</v>
      </c>
      <c r="K12" s="1" t="str">
        <f aca="false">IF(ABS(H12-SUMIFS(22_Independent_Validation!$E:$E,22_Independent_Validation!$A:$A,A12))&lt;=01_Lease_Master!$AI$6,"PASS","CHECK")</f>
        <v>PASS</v>
      </c>
    </row>
    <row r="13" customFormat="false" ht="15" hidden="false" customHeight="true" outlineLevel="0" collapsed="false">
      <c r="A13" s="1" t="s">
        <v>74</v>
      </c>
      <c r="B13" s="1" t="n">
        <v>1</v>
      </c>
      <c r="C13" s="7" t="n">
        <v>45292</v>
      </c>
      <c r="D13" s="6" t="n">
        <f aca="false">03_Initial_Recognition!$B$7</f>
        <v>8841059.59918211</v>
      </c>
      <c r="E13" s="6" t="n">
        <f aca="false">0</f>
        <v>0</v>
      </c>
      <c r="F13" s="6" t="n">
        <f aca="false">0</f>
        <v>0</v>
      </c>
      <c r="G13" s="6" t="n">
        <f aca="false">0</f>
        <v>0</v>
      </c>
      <c r="H13" s="6" t="n">
        <f aca="false">D13</f>
        <v>8841059.59918211</v>
      </c>
      <c r="I13" s="1" t="n">
        <f aca="false">C13-01_Lease_Master!$D$7</f>
        <v>0</v>
      </c>
      <c r="J13" s="6" t="n">
        <f aca="false">0</f>
        <v>0</v>
      </c>
      <c r="K13" s="1" t="str">
        <f aca="false">IF(ABS(D13+E13-F13-H13)&lt;=01_Lease_Master!$AI$7,"PASS","CHECK")</f>
        <v>PASS</v>
      </c>
    </row>
    <row r="14" customFormat="false" ht="15" hidden="false" customHeight="true" outlineLevel="0" collapsed="false">
      <c r="A14" s="1" t="s">
        <v>74</v>
      </c>
      <c r="B14" s="1" t="n">
        <v>2</v>
      </c>
      <c r="C14" s="7" t="n">
        <v>45383</v>
      </c>
      <c r="D14" s="6" t="n">
        <f aca="false">H13</f>
        <v>8841059.59918211</v>
      </c>
      <c r="E14" s="6" t="n">
        <f aca="false">D14*((1+01_Lease_Master!$P$7)^(I14/365)-1)</f>
        <v>212599.511636653</v>
      </c>
      <c r="F14" s="6" t="n">
        <f aca="false">SUMIFS(02_Payment_Schedule!E:E,02_Payment_Schedule!A:A,A14,02_Payment_Schedule!D:D,C14)</f>
        <v>450000</v>
      </c>
      <c r="G14" s="6" t="n">
        <f aca="false">F14-E14</f>
        <v>237400.488363347</v>
      </c>
      <c r="H14" s="6" t="n">
        <f aca="false">MAX(0,D14+E14-F14)</f>
        <v>8603659.11081876</v>
      </c>
      <c r="I14" s="1" t="n">
        <f aca="false">C14-C13</f>
        <v>91</v>
      </c>
      <c r="J14" s="6" t="n">
        <f aca="false">D14*((1+01_Lease_Master!$P$7)^(I14/365)-1)</f>
        <v>212599.511636653</v>
      </c>
      <c r="K14" s="1" t="str">
        <f aca="false">IF(ABS(D14+E14-F14-H14)&lt;=01_Lease_Master!$AI$7,"PASS","CHECK")</f>
        <v>PASS</v>
      </c>
    </row>
    <row r="15" customFormat="false" ht="15" hidden="false" customHeight="true" outlineLevel="0" collapsed="false">
      <c r="A15" s="1" t="s">
        <v>74</v>
      </c>
      <c r="B15" s="1" t="n">
        <v>3</v>
      </c>
      <c r="C15" s="7" t="n">
        <v>45474</v>
      </c>
      <c r="D15" s="6" t="n">
        <f aca="false">H14</f>
        <v>8603659.11081876</v>
      </c>
      <c r="E15" s="6" t="n">
        <f aca="false">D15*((1+01_Lease_Master!$P$7)^(I15/365)-1)</f>
        <v>206890.780989365</v>
      </c>
      <c r="F15" s="6" t="n">
        <f aca="false">SUMIFS(02_Payment_Schedule!E:E,02_Payment_Schedule!A:A,A15,02_Payment_Schedule!D:D,C15)</f>
        <v>450000</v>
      </c>
      <c r="G15" s="6" t="n">
        <f aca="false">F15-E15</f>
        <v>243109.219010635</v>
      </c>
      <c r="H15" s="6" t="n">
        <f aca="false">MAX(0,D15+E15-F15)</f>
        <v>8360549.89180813</v>
      </c>
      <c r="I15" s="1" t="n">
        <f aca="false">C15-C14</f>
        <v>91</v>
      </c>
      <c r="J15" s="6" t="n">
        <f aca="false">D15*((1+01_Lease_Master!$P$7)^(I15/365)-1)</f>
        <v>206890.780989365</v>
      </c>
      <c r="K15" s="1" t="str">
        <f aca="false">IF(ABS(D15+E15-F15-H15)&lt;=01_Lease_Master!$AI$7,"PASS","CHECK")</f>
        <v>PASS</v>
      </c>
    </row>
    <row r="16" customFormat="false" ht="15" hidden="false" customHeight="true" outlineLevel="0" collapsed="false">
      <c r="A16" s="1" t="s">
        <v>74</v>
      </c>
      <c r="B16" s="1" t="n">
        <v>4</v>
      </c>
      <c r="C16" s="7" t="n">
        <v>45566</v>
      </c>
      <c r="D16" s="6" t="n">
        <f aca="false">H15</f>
        <v>8360549.89180813</v>
      </c>
      <c r="E16" s="6" t="n">
        <f aca="false">D16*((1+01_Lease_Master!$P$7)^(I16/365)-1)</f>
        <v>203280.701310064</v>
      </c>
      <c r="F16" s="6" t="n">
        <f aca="false">SUMIFS(02_Payment_Schedule!E:E,02_Payment_Schedule!A:A,A16,02_Payment_Schedule!D:D,C16)</f>
        <v>450000</v>
      </c>
      <c r="G16" s="6" t="n">
        <f aca="false">F16-E16</f>
        <v>246719.298689936</v>
      </c>
      <c r="H16" s="6" t="n">
        <f aca="false">MAX(0,D16+E16-F16)</f>
        <v>8113830.59311819</v>
      </c>
      <c r="I16" s="1" t="n">
        <f aca="false">C16-C15</f>
        <v>92</v>
      </c>
      <c r="J16" s="6" t="n">
        <f aca="false">D16*((1+01_Lease_Master!$P$7)^(I16/365)-1)</f>
        <v>203280.701310064</v>
      </c>
      <c r="K16" s="1" t="str">
        <f aca="false">IF(ABS(D16+E16-F16-H16)&lt;=01_Lease_Master!$AI$7,"PASS","CHECK")</f>
        <v>PASS</v>
      </c>
    </row>
    <row r="17" customFormat="false" ht="15" hidden="false" customHeight="true" outlineLevel="0" collapsed="false">
      <c r="A17" s="1" t="s">
        <v>74</v>
      </c>
      <c r="B17" s="1" t="n">
        <v>5</v>
      </c>
      <c r="C17" s="7" t="n">
        <v>45658</v>
      </c>
      <c r="D17" s="6" t="n">
        <f aca="false">H16</f>
        <v>8113830.59311819</v>
      </c>
      <c r="E17" s="6" t="n">
        <f aca="false">D17*((1+01_Lease_Master!$P$7)^(I17/365)-1)</f>
        <v>197281.90066735</v>
      </c>
      <c r="F17" s="6" t="n">
        <f aca="false">SUMIFS(02_Payment_Schedule!E:E,02_Payment_Schedule!A:A,A17,02_Payment_Schedule!D:D,C17)</f>
        <v>475000</v>
      </c>
      <c r="G17" s="6" t="n">
        <f aca="false">F17-E17</f>
        <v>277718.09933265</v>
      </c>
      <c r="H17" s="6" t="n">
        <f aca="false">MAX(0,D17+E17-F17)</f>
        <v>7836112.49378554</v>
      </c>
      <c r="I17" s="1" t="n">
        <f aca="false">C17-C16</f>
        <v>92</v>
      </c>
      <c r="J17" s="6" t="n">
        <f aca="false">D17*((1+01_Lease_Master!$P$7)^(I17/365)-1)</f>
        <v>197281.90066735</v>
      </c>
      <c r="K17" s="1" t="str">
        <f aca="false">IF(ABS(D17+E17-F17-H17)&lt;=01_Lease_Master!$AI$7,"PASS","CHECK")</f>
        <v>PASS</v>
      </c>
    </row>
    <row r="18" customFormat="false" ht="15" hidden="false" customHeight="true" outlineLevel="0" collapsed="false">
      <c r="A18" s="1" t="s">
        <v>74</v>
      </c>
      <c r="B18" s="1" t="n">
        <v>6</v>
      </c>
      <c r="C18" s="7" t="n">
        <v>45748</v>
      </c>
      <c r="D18" s="6" t="n">
        <f aca="false">H17</f>
        <v>7836112.49378554</v>
      </c>
      <c r="E18" s="6" t="n">
        <f aca="false">D18*((1+01_Lease_Master!$P$7)^(I18/365)-1)</f>
        <v>186338.586961528</v>
      </c>
      <c r="F18" s="6" t="n">
        <f aca="false">SUMIFS(02_Payment_Schedule!E:E,02_Payment_Schedule!A:A,A18,02_Payment_Schedule!D:D,C18)</f>
        <v>475000</v>
      </c>
      <c r="G18" s="6" t="n">
        <f aca="false">F18-E18</f>
        <v>288661.413038472</v>
      </c>
      <c r="H18" s="6" t="n">
        <f aca="false">MAX(0,D18+E18-F18)</f>
        <v>7547451.08074707</v>
      </c>
      <c r="I18" s="1" t="n">
        <f aca="false">C18-C17</f>
        <v>90</v>
      </c>
      <c r="J18" s="6" t="n">
        <f aca="false">D18*((1+01_Lease_Master!$P$7)^(I18/365)-1)</f>
        <v>186338.586961528</v>
      </c>
      <c r="K18" s="1" t="str">
        <f aca="false">IF(ABS(D18+E18-F18-H18)&lt;=01_Lease_Master!$AI$7,"PASS","CHECK")</f>
        <v>PASS</v>
      </c>
    </row>
    <row r="19" customFormat="false" ht="15" hidden="false" customHeight="true" outlineLevel="0" collapsed="false">
      <c r="A19" s="1" t="s">
        <v>74</v>
      </c>
      <c r="B19" s="1" t="n">
        <v>7</v>
      </c>
      <c r="C19" s="7" t="n">
        <v>45839</v>
      </c>
      <c r="D19" s="6" t="n">
        <f aca="false">H18</f>
        <v>7547451.08074707</v>
      </c>
      <c r="E19" s="6" t="n">
        <f aca="false">D19*((1+01_Lease_Master!$P$7)^(I19/365)-1)</f>
        <v>181492.319542422</v>
      </c>
      <c r="F19" s="6" t="n">
        <f aca="false">SUMIFS(02_Payment_Schedule!E:E,02_Payment_Schedule!A:A,A19,02_Payment_Schedule!D:D,C19)</f>
        <v>475000</v>
      </c>
      <c r="G19" s="6" t="n">
        <f aca="false">F19-E19</f>
        <v>293507.680457578</v>
      </c>
      <c r="H19" s="6" t="n">
        <f aca="false">MAX(0,D19+E19-F19)</f>
        <v>7253943.40028949</v>
      </c>
      <c r="I19" s="1" t="n">
        <f aca="false">C19-C18</f>
        <v>91</v>
      </c>
      <c r="J19" s="6" t="n">
        <f aca="false">D19*((1+01_Lease_Master!$P$7)^(I19/365)-1)</f>
        <v>181492.319542422</v>
      </c>
      <c r="K19" s="1" t="str">
        <f aca="false">IF(ABS(D19+E19-F19-H19)&lt;=01_Lease_Master!$AI$7,"PASS","CHECK")</f>
        <v>PASS</v>
      </c>
    </row>
    <row r="20" customFormat="false" ht="15" hidden="false" customHeight="true" outlineLevel="0" collapsed="false">
      <c r="A20" s="1" t="s">
        <v>74</v>
      </c>
      <c r="B20" s="1" t="n">
        <v>8</v>
      </c>
      <c r="C20" s="7" t="n">
        <v>45931</v>
      </c>
      <c r="D20" s="6" t="n">
        <f aca="false">H19</f>
        <v>7253943.40028949</v>
      </c>
      <c r="E20" s="6" t="n">
        <f aca="false">D20*((1+01_Lease_Master!$P$7)^(I20/365)-1)</f>
        <v>176374.367805543</v>
      </c>
      <c r="F20" s="6" t="n">
        <f aca="false">SUMIFS(02_Payment_Schedule!E:E,02_Payment_Schedule!A:A,A20,02_Payment_Schedule!D:D,C20)</f>
        <v>475000</v>
      </c>
      <c r="G20" s="6" t="n">
        <f aca="false">F20-E20</f>
        <v>298625.632194457</v>
      </c>
      <c r="H20" s="6" t="n">
        <f aca="false">MAX(0,D20+E20-F20)</f>
        <v>6955317.76809504</v>
      </c>
      <c r="I20" s="1" t="n">
        <f aca="false">C20-C19</f>
        <v>92</v>
      </c>
      <c r="J20" s="6" t="n">
        <f aca="false">D20*((1+01_Lease_Master!$P$7)^(I20/365)-1)</f>
        <v>176374.367805543</v>
      </c>
      <c r="K20" s="1" t="str">
        <f aca="false">IF(ABS(D20+E20-F20-H20)&lt;=01_Lease_Master!$AI$7,"PASS","CHECK")</f>
        <v>PASS</v>
      </c>
    </row>
    <row r="21" customFormat="false" ht="15" hidden="false" customHeight="true" outlineLevel="0" collapsed="false">
      <c r="A21" s="1" t="s">
        <v>74</v>
      </c>
      <c r="B21" s="1" t="n">
        <v>9</v>
      </c>
      <c r="C21" s="7" t="n">
        <v>46023</v>
      </c>
      <c r="D21" s="6" t="n">
        <f aca="false">H20</f>
        <v>6955317.76809504</v>
      </c>
      <c r="E21" s="6" t="n">
        <f aca="false">D21*((1+01_Lease_Master!$P$7)^(I21/365)-1)</f>
        <v>169113.502344871</v>
      </c>
      <c r="F21" s="6" t="n">
        <f aca="false">SUMIFS(02_Payment_Schedule!E:E,02_Payment_Schedule!A:A,A21,02_Payment_Schedule!D:D,C21)</f>
        <v>500000</v>
      </c>
      <c r="G21" s="6" t="n">
        <f aca="false">F21-E21</f>
        <v>330886.497655129</v>
      </c>
      <c r="H21" s="6" t="n">
        <f aca="false">MAX(0,D21+E21-F21)</f>
        <v>6624431.27043991</v>
      </c>
      <c r="I21" s="1" t="n">
        <f aca="false">C21-C20</f>
        <v>92</v>
      </c>
      <c r="J21" s="6" t="n">
        <f aca="false">D21*((1+01_Lease_Master!$P$7)^(I21/365)-1)</f>
        <v>169113.502344871</v>
      </c>
      <c r="K21" s="1" t="str">
        <f aca="false">IF(ABS(D21+E21-F21-H21)&lt;=01_Lease_Master!$AI$7,"PASS","CHECK")</f>
        <v>PASS</v>
      </c>
    </row>
    <row r="22" customFormat="false" ht="15" hidden="false" customHeight="true" outlineLevel="0" collapsed="false">
      <c r="A22" s="1" t="s">
        <v>74</v>
      </c>
      <c r="B22" s="1" t="n">
        <v>10</v>
      </c>
      <c r="C22" s="7" t="n">
        <v>46113</v>
      </c>
      <c r="D22" s="6" t="n">
        <f aca="false">H21</f>
        <v>6624431.27043991</v>
      </c>
      <c r="E22" s="6" t="n">
        <f aca="false">D22*((1+01_Lease_Master!$P$7)^(I22/365)-1)</f>
        <v>157525.451981</v>
      </c>
      <c r="F22" s="6" t="n">
        <f aca="false">SUMIFS(02_Payment_Schedule!E:E,02_Payment_Schedule!A:A,A22,02_Payment_Schedule!D:D,C22)</f>
        <v>500000</v>
      </c>
      <c r="G22" s="6" t="n">
        <f aca="false">F22-E22</f>
        <v>342474.548019</v>
      </c>
      <c r="H22" s="6" t="n">
        <f aca="false">MAX(0,D22+E22-F22)</f>
        <v>6281956.72242091</v>
      </c>
      <c r="I22" s="1" t="n">
        <f aca="false">C22-C21</f>
        <v>90</v>
      </c>
      <c r="J22" s="6" t="n">
        <f aca="false">D22*((1+01_Lease_Master!$P$7)^(I22/365)-1)</f>
        <v>157525.451981</v>
      </c>
      <c r="K22" s="1" t="str">
        <f aca="false">IF(ABS(D22+E22-F22-H22)&lt;=01_Lease_Master!$AI$7,"PASS","CHECK")</f>
        <v>PASS</v>
      </c>
    </row>
    <row r="23" customFormat="false" ht="15" hidden="false" customHeight="true" outlineLevel="0" collapsed="false">
      <c r="A23" s="1" t="s">
        <v>74</v>
      </c>
      <c r="B23" s="1" t="n">
        <v>11</v>
      </c>
      <c r="C23" s="7" t="n">
        <v>46204</v>
      </c>
      <c r="D23" s="6" t="n">
        <f aca="false">H22</f>
        <v>6281956.72242091</v>
      </c>
      <c r="E23" s="6" t="n">
        <f aca="false">D23*((1+01_Lease_Master!$P$7)^(I23/365)-1)</f>
        <v>151061.184050023</v>
      </c>
      <c r="F23" s="6" t="n">
        <f aca="false">SUMIFS(02_Payment_Schedule!E:E,02_Payment_Schedule!A:A,A23,02_Payment_Schedule!D:D,C23)</f>
        <v>500000</v>
      </c>
      <c r="G23" s="6" t="n">
        <f aca="false">F23-E23</f>
        <v>348938.815949977</v>
      </c>
      <c r="H23" s="6" t="n">
        <f aca="false">MAX(0,D23+E23-F23)</f>
        <v>5933017.90647093</v>
      </c>
      <c r="I23" s="1" t="n">
        <f aca="false">C23-C22</f>
        <v>91</v>
      </c>
      <c r="J23" s="6" t="n">
        <f aca="false">D23*((1+01_Lease_Master!$P$7)^(I23/365)-1)</f>
        <v>151061.184050023</v>
      </c>
      <c r="K23" s="1" t="str">
        <f aca="false">IF(ABS(D23+E23-F23-H23)&lt;=01_Lease_Master!$AI$7,"PASS","CHECK")</f>
        <v>PASS</v>
      </c>
    </row>
    <row r="24" customFormat="false" ht="15" hidden="false" customHeight="true" outlineLevel="0" collapsed="false">
      <c r="A24" s="1" t="s">
        <v>74</v>
      </c>
      <c r="B24" s="1" t="s">
        <v>145</v>
      </c>
      <c r="C24" s="7" t="n">
        <v>46271</v>
      </c>
      <c r="D24" s="6" t="n">
        <f aca="false">IF($B$3&lt;01_Lease_Master!$D$7,0,IFERROR(LOOKUP(2,1/(A$6:A23=A24),H$6:H23),03_Initial_Recognition!$B$7))</f>
        <v>5933017.90647093</v>
      </c>
      <c r="E24" s="6" t="n">
        <f aca="false">IF($B$3&lt;01_Lease_Master!$D$7,0,D24*((1+01_Lease_Master!$P$7)^(I24/365)-1))</f>
        <v>104713.211559887</v>
      </c>
      <c r="F24" s="6" t="n">
        <v>0</v>
      </c>
      <c r="G24" s="6" t="n">
        <v>0</v>
      </c>
      <c r="H24" s="6" t="n">
        <f aca="false">MAX(0,D24+E24)</f>
        <v>6037731.11803082</v>
      </c>
      <c r="I24" s="9" t="n">
        <f aca="false">IF($B$3&lt;01_Lease_Master!$D$7,0,C24-IFERROR(LOOKUP(2,1/(A$6:A23=A24),C$6:C23),01_Lease_Master!$D$7))</f>
        <v>67</v>
      </c>
      <c r="J24" s="6" t="n">
        <f aca="false">E24</f>
        <v>104713.211559887</v>
      </c>
      <c r="K24" s="1" t="str">
        <f aca="false">IF(ABS(H24-SUMIFS(22_Independent_Validation!$E:$E,22_Independent_Validation!$A:$A,A24))&lt;=01_Lease_Master!$AI$7,"PASS","CHECK")</f>
        <v>PASS</v>
      </c>
    </row>
    <row r="25" customFormat="false" ht="15" hidden="false" customHeight="true" outlineLevel="0" collapsed="false">
      <c r="A25" s="1" t="s">
        <v>80</v>
      </c>
      <c r="B25" s="1" t="n">
        <v>1</v>
      </c>
      <c r="C25" s="7" t="n">
        <v>46113</v>
      </c>
      <c r="D25" s="6" t="n">
        <f aca="false">03_Initial_Recognition!$B$8</f>
        <v>784264.975377529</v>
      </c>
      <c r="E25" s="6" t="n">
        <f aca="false">0</f>
        <v>0</v>
      </c>
      <c r="F25" s="6" t="n">
        <f aca="false">0</f>
        <v>0</v>
      </c>
      <c r="G25" s="6" t="n">
        <f aca="false">0</f>
        <v>0</v>
      </c>
      <c r="H25" s="6" t="n">
        <f aca="false">D25</f>
        <v>784264.975377529</v>
      </c>
      <c r="I25" s="1" t="n">
        <f aca="false">C25-01_Lease_Master!$D$8</f>
        <v>0</v>
      </c>
      <c r="J25" s="6" t="n">
        <f aca="false">0</f>
        <v>0</v>
      </c>
      <c r="K25" s="1" t="str">
        <f aca="false">IF(ABS(D25+E25-F25-H25)&lt;=01_Lease_Master!$AI$8,"PASS","CHECK")</f>
        <v>PASS</v>
      </c>
    </row>
    <row r="26" customFormat="false" ht="15" hidden="false" customHeight="true" outlineLevel="0" collapsed="false">
      <c r="A26" s="1" t="s">
        <v>80</v>
      </c>
      <c r="B26" s="1" t="s">
        <v>145</v>
      </c>
      <c r="C26" s="7" t="n">
        <v>46271</v>
      </c>
      <c r="D26" s="6" t="n">
        <f aca="false">IF($B$3&lt;01_Lease_Master!$D$8,0,IFERROR(LOOKUP(2,1/(A$6:A25=A26),H$6:H25),03_Initial_Recognition!$B$8))</f>
        <v>784264.975377529</v>
      </c>
      <c r="E26" s="6" t="n">
        <f aca="false">IF($B$3&lt;01_Lease_Master!$D$8,0,D26*((1+01_Lease_Master!$P$8)^(I26/365)-1))</f>
        <v>29809.0155941738</v>
      </c>
      <c r="F26" s="6" t="n">
        <v>0</v>
      </c>
      <c r="G26" s="6" t="n">
        <v>0</v>
      </c>
      <c r="H26" s="6" t="n">
        <f aca="false">MAX(0,D26+E26)</f>
        <v>814073.990971703</v>
      </c>
      <c r="I26" s="9" t="n">
        <f aca="false">IF($B$3&lt;01_Lease_Master!$D$8,0,C26-IFERROR(LOOKUP(2,1/(A$6:A25=A26),C$6:C25),01_Lease_Master!$D$8))</f>
        <v>158</v>
      </c>
      <c r="J26" s="6" t="n">
        <f aca="false">E26</f>
        <v>29809.0155941738</v>
      </c>
      <c r="K26" s="1" t="str">
        <f aca="false">IF(ABS(H26-SUMIFS(22_Independent_Validation!$E:$E,22_Independent_Validation!$A:$A,A26))&lt;=01_Lease_Master!$AI$8,"PASS","CHECK")</f>
        <v>PASS</v>
      </c>
    </row>
    <row r="27" customFormat="false" ht="15" hidden="false" customHeight="true" outlineLevel="0" collapsed="false">
      <c r="A27" s="1" t="s">
        <v>84</v>
      </c>
      <c r="B27" s="1" t="n">
        <v>1</v>
      </c>
      <c r="C27" s="7" t="n">
        <v>45672</v>
      </c>
      <c r="D27" s="6" t="n">
        <f aca="false">03_Initial_Recognition!$B$9</f>
        <v>1652805.49626747</v>
      </c>
      <c r="E27" s="6" t="n">
        <f aca="false">0</f>
        <v>0</v>
      </c>
      <c r="F27" s="6" t="n">
        <f aca="false">0</f>
        <v>0</v>
      </c>
      <c r="G27" s="6" t="n">
        <f aca="false">0</f>
        <v>0</v>
      </c>
      <c r="H27" s="6" t="n">
        <f aca="false">D27</f>
        <v>1652805.49626747</v>
      </c>
      <c r="I27" s="1" t="n">
        <f aca="false">C27-01_Lease_Master!$D$9</f>
        <v>0</v>
      </c>
      <c r="J27" s="6" t="n">
        <f aca="false">0</f>
        <v>0</v>
      </c>
      <c r="K27" s="1" t="str">
        <f aca="false">IF(ABS(D27+E27-F27-H27)&lt;=01_Lease_Master!$AI$9,"PASS","CHECK")</f>
        <v>PASS</v>
      </c>
    </row>
    <row r="28" customFormat="false" ht="15" hidden="false" customHeight="true" outlineLevel="0" collapsed="false">
      <c r="A28" s="1" t="s">
        <v>84</v>
      </c>
      <c r="B28" s="1" t="n">
        <v>2</v>
      </c>
      <c r="C28" s="7" t="n">
        <v>45703</v>
      </c>
      <c r="D28" s="6" t="n">
        <f aca="false">H27</f>
        <v>1652805.49626747</v>
      </c>
      <c r="E28" s="6" t="n">
        <f aca="false">D28*((1+01_Lease_Master!$P$9)^(I28/365)-1)</f>
        <v>14714.679528074</v>
      </c>
      <c r="F28" s="6" t="n">
        <f aca="false">SUMIFS(02_Payment_Schedule!E:E,02_Payment_Schedule!A:A,A28,02_Payment_Schedule!D:D,C28)</f>
        <v>55000</v>
      </c>
      <c r="G28" s="6" t="n">
        <f aca="false">F28-E28</f>
        <v>40285.3204719261</v>
      </c>
      <c r="H28" s="6" t="n">
        <f aca="false">MAX(0,D28+E28-F28)</f>
        <v>1612520.17579555</v>
      </c>
      <c r="I28" s="1" t="n">
        <f aca="false">C28-C27</f>
        <v>31</v>
      </c>
      <c r="J28" s="6" t="n">
        <f aca="false">D28*((1+01_Lease_Master!$P$9)^(I28/365)-1)</f>
        <v>14714.679528074</v>
      </c>
      <c r="K28" s="1" t="str">
        <f aca="false">IF(ABS(D28+E28-F28-H28)&lt;=01_Lease_Master!$AI$9,"PASS","CHECK")</f>
        <v>PASS</v>
      </c>
    </row>
    <row r="29" customFormat="false" ht="15" hidden="false" customHeight="true" outlineLevel="0" collapsed="false">
      <c r="A29" s="1" t="s">
        <v>84</v>
      </c>
      <c r="B29" s="1" t="n">
        <v>3</v>
      </c>
      <c r="C29" s="7" t="n">
        <v>45731</v>
      </c>
      <c r="D29" s="6" t="n">
        <f aca="false">H28</f>
        <v>1612520.17579555</v>
      </c>
      <c r="E29" s="6" t="n">
        <f aca="false">D29*((1+01_Lease_Master!$P$9)^(I29/365)-1)</f>
        <v>12961.1648307547</v>
      </c>
      <c r="F29" s="6" t="n">
        <f aca="false">SUMIFS(02_Payment_Schedule!E:E,02_Payment_Schedule!A:A,A29,02_Payment_Schedule!D:D,C29)</f>
        <v>55000</v>
      </c>
      <c r="G29" s="6" t="n">
        <f aca="false">F29-E29</f>
        <v>42038.8351692453</v>
      </c>
      <c r="H29" s="6" t="n">
        <f aca="false">MAX(0,D29+E29-F29)</f>
        <v>1570481.3406263</v>
      </c>
      <c r="I29" s="1" t="n">
        <f aca="false">C29-C28</f>
        <v>28</v>
      </c>
      <c r="J29" s="6" t="n">
        <f aca="false">D29*((1+01_Lease_Master!$P$9)^(I29/365)-1)</f>
        <v>12961.1648307547</v>
      </c>
      <c r="K29" s="1" t="str">
        <f aca="false">IF(ABS(D29+E29-F29-H29)&lt;=01_Lease_Master!$AI$9,"PASS","CHECK")</f>
        <v>PASS</v>
      </c>
    </row>
    <row r="30" customFormat="false" ht="15" hidden="false" customHeight="true" outlineLevel="0" collapsed="false">
      <c r="A30" s="1" t="s">
        <v>84</v>
      </c>
      <c r="B30" s="1" t="n">
        <v>4</v>
      </c>
      <c r="C30" s="7" t="n">
        <v>45762</v>
      </c>
      <c r="D30" s="6" t="n">
        <f aca="false">H29</f>
        <v>1570481.3406263</v>
      </c>
      <c r="E30" s="6" t="n">
        <f aca="false">D30*((1+01_Lease_Master!$P$9)^(I30/365)-1)</f>
        <v>13981.7599132646</v>
      </c>
      <c r="F30" s="6" t="n">
        <f aca="false">SUMIFS(02_Payment_Schedule!E:E,02_Payment_Schedule!A:A,A30,02_Payment_Schedule!D:D,C30)</f>
        <v>55000</v>
      </c>
      <c r="G30" s="6" t="n">
        <f aca="false">F30-E30</f>
        <v>41018.2400867354</v>
      </c>
      <c r="H30" s="6" t="n">
        <f aca="false">MAX(0,D30+E30-F30)</f>
        <v>1529463.10053957</v>
      </c>
      <c r="I30" s="1" t="n">
        <f aca="false">C30-C29</f>
        <v>31</v>
      </c>
      <c r="J30" s="6" t="n">
        <f aca="false">D30*((1+01_Lease_Master!$P$9)^(I30/365)-1)</f>
        <v>13981.7599132646</v>
      </c>
      <c r="K30" s="1" t="str">
        <f aca="false">IF(ABS(D30+E30-F30-H30)&lt;=01_Lease_Master!$AI$9,"PASS","CHECK")</f>
        <v>PASS</v>
      </c>
    </row>
    <row r="31" customFormat="false" ht="15" hidden="false" customHeight="true" outlineLevel="0" collapsed="false">
      <c r="A31" s="1" t="s">
        <v>84</v>
      </c>
      <c r="B31" s="1" t="n">
        <v>5</v>
      </c>
      <c r="C31" s="7" t="n">
        <v>45792</v>
      </c>
      <c r="D31" s="6" t="n">
        <f aca="false">H30</f>
        <v>1529463.10053957</v>
      </c>
      <c r="E31" s="6" t="n">
        <f aca="false">D31*((1+01_Lease_Master!$P$9)^(I31/365)-1)</f>
        <v>13175.4497131069</v>
      </c>
      <c r="F31" s="6" t="n">
        <f aca="false">SUMIFS(02_Payment_Schedule!E:E,02_Payment_Schedule!A:A,A31,02_Payment_Schedule!D:D,C31)</f>
        <v>55000</v>
      </c>
      <c r="G31" s="6" t="n">
        <f aca="false">F31-E31</f>
        <v>41824.5502868931</v>
      </c>
      <c r="H31" s="6" t="n">
        <f aca="false">MAX(0,D31+E31-F31)</f>
        <v>1487638.55025267</v>
      </c>
      <c r="I31" s="1" t="n">
        <f aca="false">C31-C30</f>
        <v>30</v>
      </c>
      <c r="J31" s="6" t="n">
        <f aca="false">D31*((1+01_Lease_Master!$P$9)^(I31/365)-1)</f>
        <v>13175.4497131069</v>
      </c>
      <c r="K31" s="1" t="str">
        <f aca="false">IF(ABS(D31+E31-F31-H31)&lt;=01_Lease_Master!$AI$9,"PASS","CHECK")</f>
        <v>PASS</v>
      </c>
    </row>
    <row r="32" customFormat="false" ht="15" hidden="false" customHeight="true" outlineLevel="0" collapsed="false">
      <c r="A32" s="1" t="s">
        <v>84</v>
      </c>
      <c r="B32" s="1" t="n">
        <v>6</v>
      </c>
      <c r="C32" s="7" t="n">
        <v>45823</v>
      </c>
      <c r="D32" s="6" t="n">
        <f aca="false">H31</f>
        <v>1487638.55025267</v>
      </c>
      <c r="E32" s="6" t="n">
        <f aca="false">D32*((1+01_Lease_Master!$P$9)^(I32/365)-1)</f>
        <v>13244.2229711911</v>
      </c>
      <c r="F32" s="6" t="n">
        <f aca="false">SUMIFS(02_Payment_Schedule!E:E,02_Payment_Schedule!A:A,A32,02_Payment_Schedule!D:D,C32)</f>
        <v>55000</v>
      </c>
      <c r="G32" s="6" t="n">
        <f aca="false">F32-E32</f>
        <v>41755.7770288089</v>
      </c>
      <c r="H32" s="6" t="n">
        <f aca="false">MAX(0,D32+E32-F32)</f>
        <v>1445882.77322386</v>
      </c>
      <c r="I32" s="1" t="n">
        <f aca="false">C32-C31</f>
        <v>31</v>
      </c>
      <c r="J32" s="6" t="n">
        <f aca="false">D32*((1+01_Lease_Master!$P$9)^(I32/365)-1)</f>
        <v>13244.2229711911</v>
      </c>
      <c r="K32" s="1" t="str">
        <f aca="false">IF(ABS(D32+E32-F32-H32)&lt;=01_Lease_Master!$AI$9,"PASS","CHECK")</f>
        <v>PASS</v>
      </c>
    </row>
    <row r="33" customFormat="false" ht="15" hidden="false" customHeight="true" outlineLevel="0" collapsed="false">
      <c r="A33" s="1" t="s">
        <v>84</v>
      </c>
      <c r="B33" s="1" t="n">
        <v>7</v>
      </c>
      <c r="C33" s="7" t="n">
        <v>45853</v>
      </c>
      <c r="D33" s="6" t="n">
        <f aca="false">H32</f>
        <v>1445882.77322386</v>
      </c>
      <c r="E33" s="6" t="n">
        <f aca="false">D33*((1+01_Lease_Master!$P$9)^(I33/365)-1)</f>
        <v>12455.4530036966</v>
      </c>
      <c r="F33" s="6" t="n">
        <f aca="false">SUMIFS(02_Payment_Schedule!E:E,02_Payment_Schedule!A:A,A33,02_Payment_Schedule!D:D,C33)</f>
        <v>55000</v>
      </c>
      <c r="G33" s="6" t="n">
        <f aca="false">F33-E33</f>
        <v>42544.5469963035</v>
      </c>
      <c r="H33" s="6" t="n">
        <f aca="false">MAX(0,D33+E33-F33)</f>
        <v>1403338.22622756</v>
      </c>
      <c r="I33" s="1" t="n">
        <f aca="false">C33-C32</f>
        <v>30</v>
      </c>
      <c r="J33" s="6" t="n">
        <f aca="false">D33*((1+01_Lease_Master!$P$9)^(I33/365)-1)</f>
        <v>12455.4530036966</v>
      </c>
      <c r="K33" s="1" t="str">
        <f aca="false">IF(ABS(D33+E33-F33-H33)&lt;=01_Lease_Master!$AI$9,"PASS","CHECK")</f>
        <v>PASS</v>
      </c>
    </row>
    <row r="34" customFormat="false" ht="15" hidden="false" customHeight="true" outlineLevel="0" collapsed="false">
      <c r="A34" s="1" t="s">
        <v>84</v>
      </c>
      <c r="B34" s="1" t="n">
        <v>8</v>
      </c>
      <c r="C34" s="7" t="n">
        <v>45884</v>
      </c>
      <c r="D34" s="6" t="n">
        <f aca="false">H33</f>
        <v>1403338.22622756</v>
      </c>
      <c r="E34" s="6" t="n">
        <f aca="false">D34*((1+01_Lease_Master!$P$9)^(I34/365)-1)</f>
        <v>12493.7098255466</v>
      </c>
      <c r="F34" s="6" t="n">
        <f aca="false">SUMIFS(02_Payment_Schedule!E:E,02_Payment_Schedule!A:A,A34,02_Payment_Schedule!D:D,C34)</f>
        <v>55000</v>
      </c>
      <c r="G34" s="6" t="n">
        <f aca="false">F34-E34</f>
        <v>42506.2901744534</v>
      </c>
      <c r="H34" s="6" t="n">
        <f aca="false">MAX(0,D34+E34-F34)</f>
        <v>1360831.93605311</v>
      </c>
      <c r="I34" s="1" t="n">
        <f aca="false">C34-C33</f>
        <v>31</v>
      </c>
      <c r="J34" s="6" t="n">
        <f aca="false">D34*((1+01_Lease_Master!$P$9)^(I34/365)-1)</f>
        <v>12493.7098255466</v>
      </c>
      <c r="K34" s="1" t="str">
        <f aca="false">IF(ABS(D34+E34-F34-H34)&lt;=01_Lease_Master!$AI$9,"PASS","CHECK")</f>
        <v>PASS</v>
      </c>
    </row>
    <row r="35" customFormat="false" ht="15" hidden="false" customHeight="true" outlineLevel="0" collapsed="false">
      <c r="A35" s="1" t="s">
        <v>84</v>
      </c>
      <c r="B35" s="1" t="n">
        <v>9</v>
      </c>
      <c r="C35" s="7" t="n">
        <v>45915</v>
      </c>
      <c r="D35" s="6" t="n">
        <f aca="false">H34</f>
        <v>1360831.93605311</v>
      </c>
      <c r="E35" s="6" t="n">
        <f aca="false">D35*((1+01_Lease_Master!$P$9)^(I35/365)-1)</f>
        <v>12115.2826970932</v>
      </c>
      <c r="F35" s="6" t="n">
        <f aca="false">SUMIFS(02_Payment_Schedule!E:E,02_Payment_Schedule!A:A,A35,02_Payment_Schedule!D:D,C35)</f>
        <v>55000</v>
      </c>
      <c r="G35" s="6" t="n">
        <f aca="false">F35-E35</f>
        <v>42884.7173029068</v>
      </c>
      <c r="H35" s="6" t="n">
        <f aca="false">MAX(0,D35+E35-F35)</f>
        <v>1317947.2187502</v>
      </c>
      <c r="I35" s="1" t="n">
        <f aca="false">C35-C34</f>
        <v>31</v>
      </c>
      <c r="J35" s="6" t="n">
        <f aca="false">D35*((1+01_Lease_Master!$P$9)^(I35/365)-1)</f>
        <v>12115.2826970932</v>
      </c>
      <c r="K35" s="1" t="str">
        <f aca="false">IF(ABS(D35+E35-F35-H35)&lt;=01_Lease_Master!$AI$9,"PASS","CHECK")</f>
        <v>PASS</v>
      </c>
    </row>
    <row r="36" customFormat="false" ht="15" hidden="false" customHeight="true" outlineLevel="0" collapsed="false">
      <c r="A36" s="1" t="s">
        <v>84</v>
      </c>
      <c r="B36" s="1" t="n">
        <v>10</v>
      </c>
      <c r="C36" s="7" t="n">
        <v>45945</v>
      </c>
      <c r="D36" s="6" t="n">
        <f aca="false">H35</f>
        <v>1317947.2187502</v>
      </c>
      <c r="E36" s="6" t="n">
        <f aca="false">D36*((1+01_Lease_Master!$P$9)^(I36/365)-1)</f>
        <v>11353.3613848196</v>
      </c>
      <c r="F36" s="6" t="n">
        <f aca="false">SUMIFS(02_Payment_Schedule!E:E,02_Payment_Schedule!A:A,A36,02_Payment_Schedule!D:D,C36)</f>
        <v>55000</v>
      </c>
      <c r="G36" s="6" t="n">
        <f aca="false">F36-E36</f>
        <v>43646.6386151804</v>
      </c>
      <c r="H36" s="6" t="n">
        <f aca="false">MAX(0,D36+E36-F36)</f>
        <v>1274300.58013502</v>
      </c>
      <c r="I36" s="1" t="n">
        <f aca="false">C36-C35</f>
        <v>30</v>
      </c>
      <c r="J36" s="6" t="n">
        <f aca="false">D36*((1+01_Lease_Master!$P$9)^(I36/365)-1)</f>
        <v>11353.3613848196</v>
      </c>
      <c r="K36" s="1" t="str">
        <f aca="false">IF(ABS(D36+E36-F36-H36)&lt;=01_Lease_Master!$AI$9,"PASS","CHECK")</f>
        <v>PASS</v>
      </c>
    </row>
    <row r="37" customFormat="false" ht="15" hidden="false" customHeight="true" outlineLevel="0" collapsed="false">
      <c r="A37" s="1" t="s">
        <v>84</v>
      </c>
      <c r="B37" s="1" t="n">
        <v>11</v>
      </c>
      <c r="C37" s="7" t="n">
        <v>45976</v>
      </c>
      <c r="D37" s="6" t="n">
        <f aca="false">H36</f>
        <v>1274300.58013502</v>
      </c>
      <c r="E37" s="6" t="n">
        <f aca="false">D37*((1+01_Lease_Master!$P$9)^(I37/365)-1)</f>
        <v>11344.9070090042</v>
      </c>
      <c r="F37" s="6" t="n">
        <f aca="false">SUMIFS(02_Payment_Schedule!E:E,02_Payment_Schedule!A:A,A37,02_Payment_Schedule!D:D,C37)</f>
        <v>55000</v>
      </c>
      <c r="G37" s="6" t="n">
        <f aca="false">F37-E37</f>
        <v>43655.0929909958</v>
      </c>
      <c r="H37" s="6" t="n">
        <f aca="false">MAX(0,D37+E37-F37)</f>
        <v>1230645.48714402</v>
      </c>
      <c r="I37" s="1" t="n">
        <f aca="false">C37-C36</f>
        <v>31</v>
      </c>
      <c r="J37" s="6" t="n">
        <f aca="false">D37*((1+01_Lease_Master!$P$9)^(I37/365)-1)</f>
        <v>11344.9070090042</v>
      </c>
      <c r="K37" s="1" t="str">
        <f aca="false">IF(ABS(D37+E37-F37-H37)&lt;=01_Lease_Master!$AI$9,"PASS","CHECK")</f>
        <v>PASS</v>
      </c>
    </row>
    <row r="38" customFormat="false" ht="15" hidden="false" customHeight="true" outlineLevel="0" collapsed="false">
      <c r="A38" s="1" t="s">
        <v>84</v>
      </c>
      <c r="B38" s="1" t="n">
        <v>12</v>
      </c>
      <c r="C38" s="7" t="n">
        <v>46006</v>
      </c>
      <c r="D38" s="6" t="n">
        <f aca="false">H37</f>
        <v>1230645.48714402</v>
      </c>
      <c r="E38" s="6" t="n">
        <f aca="false">D38*((1+01_Lease_Master!$P$9)^(I38/365)-1)</f>
        <v>10601.3069061999</v>
      </c>
      <c r="F38" s="6" t="n">
        <f aca="false">SUMIFS(02_Payment_Schedule!E:E,02_Payment_Schedule!A:A,A38,02_Payment_Schedule!D:D,C38)</f>
        <v>55000</v>
      </c>
      <c r="G38" s="6" t="n">
        <f aca="false">F38-E38</f>
        <v>44398.6930938001</v>
      </c>
      <c r="H38" s="6" t="n">
        <f aca="false">MAX(0,D38+E38-F38)</f>
        <v>1186246.79405022</v>
      </c>
      <c r="I38" s="1" t="n">
        <f aca="false">C38-C37</f>
        <v>30</v>
      </c>
      <c r="J38" s="6" t="n">
        <f aca="false">D38*((1+01_Lease_Master!$P$9)^(I38/365)-1)</f>
        <v>10601.3069061999</v>
      </c>
      <c r="K38" s="1" t="str">
        <f aca="false">IF(ABS(D38+E38-F38-H38)&lt;=01_Lease_Master!$AI$9,"PASS","CHECK")</f>
        <v>PASS</v>
      </c>
    </row>
    <row r="39" customFormat="false" ht="15" hidden="false" customHeight="true" outlineLevel="0" collapsed="false">
      <c r="A39" s="1" t="s">
        <v>84</v>
      </c>
      <c r="B39" s="1" t="n">
        <v>13</v>
      </c>
      <c r="C39" s="7" t="n">
        <v>46037</v>
      </c>
      <c r="D39" s="6" t="n">
        <f aca="false">H38</f>
        <v>1186246.79405022</v>
      </c>
      <c r="E39" s="6" t="n">
        <f aca="false">D39*((1+01_Lease_Master!$P$9)^(I39/365)-1)</f>
        <v>10560.977353399</v>
      </c>
      <c r="F39" s="6" t="n">
        <f aca="false">SUMIFS(02_Payment_Schedule!E:E,02_Payment_Schedule!A:A,A39,02_Payment_Schedule!D:D,C39)</f>
        <v>55000</v>
      </c>
      <c r="G39" s="6" t="n">
        <f aca="false">F39-E39</f>
        <v>44439.022646601</v>
      </c>
      <c r="H39" s="6" t="n">
        <f aca="false">MAX(0,D39+E39-F39)</f>
        <v>1141807.77140362</v>
      </c>
      <c r="I39" s="1" t="n">
        <f aca="false">C39-C38</f>
        <v>31</v>
      </c>
      <c r="J39" s="6" t="n">
        <f aca="false">D39*((1+01_Lease_Master!$P$9)^(I39/365)-1)</f>
        <v>10560.977353399</v>
      </c>
      <c r="K39" s="1" t="str">
        <f aca="false">IF(ABS(D39+E39-F39-H39)&lt;=01_Lease_Master!$AI$9,"PASS","CHECK")</f>
        <v>PASS</v>
      </c>
    </row>
    <row r="40" customFormat="false" ht="15" hidden="false" customHeight="true" outlineLevel="0" collapsed="false">
      <c r="A40" s="1" t="s">
        <v>84</v>
      </c>
      <c r="B40" s="1" t="n">
        <v>14</v>
      </c>
      <c r="C40" s="7" t="n">
        <v>46068</v>
      </c>
      <c r="D40" s="6" t="n">
        <f aca="false">H39</f>
        <v>1141807.77140362</v>
      </c>
      <c r="E40" s="6" t="n">
        <f aca="false">D40*((1+01_Lease_Master!$P$9)^(I40/365)-1)</f>
        <v>10165.3433975208</v>
      </c>
      <c r="F40" s="6" t="n">
        <f aca="false">SUMIFS(02_Payment_Schedule!E:E,02_Payment_Schedule!A:A,A40,02_Payment_Schedule!D:D,C40)</f>
        <v>55000</v>
      </c>
      <c r="G40" s="6" t="n">
        <f aca="false">F40-E40</f>
        <v>44834.6566024792</v>
      </c>
      <c r="H40" s="6" t="n">
        <f aca="false">MAX(0,D40+E40-F40)</f>
        <v>1096973.11480114</v>
      </c>
      <c r="I40" s="1" t="n">
        <f aca="false">C40-C39</f>
        <v>31</v>
      </c>
      <c r="J40" s="6" t="n">
        <f aca="false">D40*((1+01_Lease_Master!$P$9)^(I40/365)-1)</f>
        <v>10165.3433975208</v>
      </c>
      <c r="K40" s="1" t="str">
        <f aca="false">IF(ABS(D40+E40-F40-H40)&lt;=01_Lease_Master!$AI$9,"PASS","CHECK")</f>
        <v>PASS</v>
      </c>
    </row>
    <row r="41" customFormat="false" ht="15" hidden="false" customHeight="true" outlineLevel="0" collapsed="false">
      <c r="A41" s="1" t="s">
        <v>84</v>
      </c>
      <c r="B41" s="1" t="n">
        <v>15</v>
      </c>
      <c r="C41" s="7" t="n">
        <v>46096</v>
      </c>
      <c r="D41" s="6" t="n">
        <f aca="false">H40</f>
        <v>1096973.11480114</v>
      </c>
      <c r="E41" s="6" t="n">
        <f aca="false">D41*((1+01_Lease_Master!$P$9)^(I41/365)-1)</f>
        <v>8817.28462642615</v>
      </c>
      <c r="F41" s="6" t="n">
        <f aca="false">SUMIFS(02_Payment_Schedule!E:E,02_Payment_Schedule!A:A,A41,02_Payment_Schedule!D:D,C41)</f>
        <v>55000</v>
      </c>
      <c r="G41" s="6" t="n">
        <f aca="false">F41-E41</f>
        <v>46182.7153735739</v>
      </c>
      <c r="H41" s="6" t="n">
        <f aca="false">MAX(0,D41+E41-F41)</f>
        <v>1050790.39942757</v>
      </c>
      <c r="I41" s="1" t="n">
        <f aca="false">C41-C40</f>
        <v>28</v>
      </c>
      <c r="J41" s="6" t="n">
        <f aca="false">D41*((1+01_Lease_Master!$P$9)^(I41/365)-1)</f>
        <v>8817.28462642615</v>
      </c>
      <c r="K41" s="1" t="str">
        <f aca="false">IF(ABS(D41+E41-F41-H41)&lt;=01_Lease_Master!$AI$9,"PASS","CHECK")</f>
        <v>PASS</v>
      </c>
    </row>
    <row r="42" customFormat="false" ht="15" hidden="false" customHeight="true" outlineLevel="0" collapsed="false">
      <c r="A42" s="1" t="s">
        <v>84</v>
      </c>
      <c r="B42" s="1" t="n">
        <v>16</v>
      </c>
      <c r="C42" s="7" t="n">
        <v>46127</v>
      </c>
      <c r="D42" s="6" t="n">
        <f aca="false">H41</f>
        <v>1050790.39942757</v>
      </c>
      <c r="E42" s="6" t="n">
        <f aca="false">D42*((1+01_Lease_Master!$P$9)^(I42/365)-1)</f>
        <v>9355.02938105628</v>
      </c>
      <c r="F42" s="6" t="n">
        <f aca="false">SUMIFS(02_Payment_Schedule!E:E,02_Payment_Schedule!A:A,A42,02_Payment_Schedule!D:D,C42)</f>
        <v>55000</v>
      </c>
      <c r="G42" s="6" t="n">
        <f aca="false">F42-E42</f>
        <v>45644.9706189437</v>
      </c>
      <c r="H42" s="6" t="n">
        <f aca="false">MAX(0,D42+E42-F42)</f>
        <v>1005145.42880863</v>
      </c>
      <c r="I42" s="1" t="n">
        <f aca="false">C42-C41</f>
        <v>31</v>
      </c>
      <c r="J42" s="6" t="n">
        <f aca="false">D42*((1+01_Lease_Master!$P$9)^(I42/365)-1)</f>
        <v>9355.02938105628</v>
      </c>
      <c r="K42" s="1" t="str">
        <f aca="false">IF(ABS(D42+E42-F42-H42)&lt;=01_Lease_Master!$AI$9,"PASS","CHECK")</f>
        <v>PASS</v>
      </c>
    </row>
    <row r="43" customFormat="false" ht="15" hidden="false" customHeight="true" outlineLevel="0" collapsed="false">
      <c r="A43" s="1" t="s">
        <v>84</v>
      </c>
      <c r="B43" s="1" t="n">
        <v>17</v>
      </c>
      <c r="C43" s="7" t="n">
        <v>46157</v>
      </c>
      <c r="D43" s="6" t="n">
        <f aca="false">H42</f>
        <v>1005145.42880863</v>
      </c>
      <c r="E43" s="6" t="n">
        <f aca="false">D43*((1+01_Lease_Master!$P$9)^(I43/365)-1)</f>
        <v>8658.75289633033</v>
      </c>
      <c r="F43" s="6" t="n">
        <f aca="false">SUMIFS(02_Payment_Schedule!E:E,02_Payment_Schedule!A:A,A43,02_Payment_Schedule!D:D,C43)</f>
        <v>55000</v>
      </c>
      <c r="G43" s="6" t="n">
        <f aca="false">F43-E43</f>
        <v>46341.2471036697</v>
      </c>
      <c r="H43" s="6" t="n">
        <f aca="false">MAX(0,D43+E43-F43)</f>
        <v>958804.181704957</v>
      </c>
      <c r="I43" s="1" t="n">
        <f aca="false">C43-C42</f>
        <v>30</v>
      </c>
      <c r="J43" s="6" t="n">
        <f aca="false">D43*((1+01_Lease_Master!$P$9)^(I43/365)-1)</f>
        <v>8658.75289633033</v>
      </c>
      <c r="K43" s="1" t="str">
        <f aca="false">IF(ABS(D43+E43-F43-H43)&lt;=01_Lease_Master!$AI$9,"PASS","CHECK")</f>
        <v>PASS</v>
      </c>
    </row>
    <row r="44" customFormat="false" ht="15" hidden="false" customHeight="true" outlineLevel="0" collapsed="false">
      <c r="A44" s="1" t="s">
        <v>84</v>
      </c>
      <c r="B44" s="1" t="n">
        <v>18</v>
      </c>
      <c r="C44" s="7" t="n">
        <v>46188</v>
      </c>
      <c r="D44" s="6" t="n">
        <f aca="false">H43</f>
        <v>958804.181704957</v>
      </c>
      <c r="E44" s="6" t="n">
        <f aca="false">D44*((1+01_Lease_Master!$P$9)^(I44/365)-1)</f>
        <v>8536.08987616923</v>
      </c>
      <c r="F44" s="6" t="n">
        <f aca="false">SUMIFS(02_Payment_Schedule!E:E,02_Payment_Schedule!A:A,A44,02_Payment_Schedule!D:D,C44)</f>
        <v>55000</v>
      </c>
      <c r="G44" s="6" t="n">
        <f aca="false">F44-E44</f>
        <v>46463.9101238308</v>
      </c>
      <c r="H44" s="6" t="n">
        <f aca="false">MAX(0,D44+E44-F44)</f>
        <v>912340.271581126</v>
      </c>
      <c r="I44" s="1" t="n">
        <f aca="false">C44-C43</f>
        <v>31</v>
      </c>
      <c r="J44" s="6" t="n">
        <f aca="false">D44*((1+01_Lease_Master!$P$9)^(I44/365)-1)</f>
        <v>8536.08987616923</v>
      </c>
      <c r="K44" s="1" t="str">
        <f aca="false">IF(ABS(D44+E44-F44-H44)&lt;=01_Lease_Master!$AI$9,"PASS","CHECK")</f>
        <v>PASS</v>
      </c>
    </row>
    <row r="45" customFormat="false" ht="15" hidden="false" customHeight="true" outlineLevel="0" collapsed="false">
      <c r="A45" s="1" t="s">
        <v>84</v>
      </c>
      <c r="B45" s="1" t="n">
        <v>19</v>
      </c>
      <c r="C45" s="7" t="n">
        <v>46218</v>
      </c>
      <c r="D45" s="6" t="n">
        <f aca="false">H44</f>
        <v>912340.271581126</v>
      </c>
      <c r="E45" s="6" t="n">
        <f aca="false">D45*((1+01_Lease_Master!$P$9)^(I45/365)-1)</f>
        <v>7859.28955410485</v>
      </c>
      <c r="F45" s="6" t="n">
        <f aca="false">SUMIFS(02_Payment_Schedule!E:E,02_Payment_Schedule!A:A,A45,02_Payment_Schedule!D:D,C45)</f>
        <v>55000</v>
      </c>
      <c r="G45" s="6" t="n">
        <f aca="false">F45-E45</f>
        <v>47140.7104458952</v>
      </c>
      <c r="H45" s="6" t="n">
        <f aca="false">MAX(0,D45+E45-F45)</f>
        <v>865199.561135231</v>
      </c>
      <c r="I45" s="1" t="n">
        <f aca="false">C45-C44</f>
        <v>30</v>
      </c>
      <c r="J45" s="6" t="n">
        <f aca="false">D45*((1+01_Lease_Master!$P$9)^(I45/365)-1)</f>
        <v>7859.28955410485</v>
      </c>
      <c r="K45" s="1" t="str">
        <f aca="false">IF(ABS(D45+E45-F45-H45)&lt;=01_Lease_Master!$AI$9,"PASS","CHECK")</f>
        <v>PASS</v>
      </c>
    </row>
    <row r="46" customFormat="false" ht="15" hidden="false" customHeight="true" outlineLevel="0" collapsed="false">
      <c r="A46" s="1" t="s">
        <v>84</v>
      </c>
      <c r="B46" s="1" t="n">
        <v>20</v>
      </c>
      <c r="C46" s="7" t="n">
        <v>46249</v>
      </c>
      <c r="D46" s="6" t="n">
        <f aca="false">H45</f>
        <v>865199.561135231</v>
      </c>
      <c r="E46" s="6" t="n">
        <f aca="false">D46*((1+01_Lease_Master!$P$9)^(I46/365)-1)</f>
        <v>7702.74197338153</v>
      </c>
      <c r="F46" s="6" t="n">
        <f aca="false">SUMIFS(02_Payment_Schedule!E:E,02_Payment_Schedule!A:A,A46,02_Payment_Schedule!D:D,C46)</f>
        <v>55000</v>
      </c>
      <c r="G46" s="6" t="n">
        <f aca="false">F46-E46</f>
        <v>47297.2580266185</v>
      </c>
      <c r="H46" s="6" t="n">
        <f aca="false">MAX(0,D46+E46-F46)</f>
        <v>817902.303108613</v>
      </c>
      <c r="I46" s="1" t="n">
        <f aca="false">C46-C45</f>
        <v>31</v>
      </c>
      <c r="J46" s="6" t="n">
        <f aca="false">D46*((1+01_Lease_Master!$P$9)^(I46/365)-1)</f>
        <v>7702.74197338153</v>
      </c>
      <c r="K46" s="1" t="str">
        <f aca="false">IF(ABS(D46+E46-F46-H46)&lt;=01_Lease_Master!$AI$9,"PASS","CHECK")</f>
        <v>PASS</v>
      </c>
    </row>
    <row r="47" customFormat="false" ht="15" hidden="false" customHeight="true" outlineLevel="0" collapsed="false">
      <c r="A47" s="1" t="s">
        <v>84</v>
      </c>
      <c r="B47" s="1" t="s">
        <v>145</v>
      </c>
      <c r="C47" s="7" t="n">
        <v>46271</v>
      </c>
      <c r="D47" s="6" t="n">
        <f aca="false">IF($B$3&lt;01_Lease_Master!$D$9,0,IFERROR(LOOKUP(2,1/(A$6:A46=A47),H$6:H46),03_Initial_Recognition!$B$9))</f>
        <v>817902.303108613</v>
      </c>
      <c r="E47" s="6" t="n">
        <f aca="false">IF($B$3&lt;01_Lease_Master!$D$9,0,D47*((1+01_Lease_Master!$P$9)^(I47/365)-1))</f>
        <v>5160.97785579684</v>
      </c>
      <c r="F47" s="6" t="n">
        <v>0</v>
      </c>
      <c r="G47" s="6" t="n">
        <v>0</v>
      </c>
      <c r="H47" s="6" t="n">
        <f aca="false">MAX(0,D47+E47)</f>
        <v>823063.280964409</v>
      </c>
      <c r="I47" s="9" t="n">
        <f aca="false">IF($B$3&lt;01_Lease_Master!$D$9,0,C47-IFERROR(LOOKUP(2,1/(A$6:A46=A47),C$6:C46),01_Lease_Master!$D$9))</f>
        <v>22</v>
      </c>
      <c r="J47" s="6" t="n">
        <f aca="false">E47</f>
        <v>5160.97785579684</v>
      </c>
      <c r="K47" s="1" t="str">
        <f aca="false">IF(ABS(H47-SUMIFS(22_Independent_Validation!$E:$E,22_Independent_Validation!$A:$A,A47))&lt;=01_Lease_Master!$AI$9,"PASS","CHECK")</f>
        <v>PASS</v>
      </c>
    </row>
    <row r="48" customFormat="false" ht="15" hidden="false" customHeight="true" outlineLevel="0" collapsed="false">
      <c r="A48" s="1" t="s">
        <v>88</v>
      </c>
      <c r="B48" s="1" t="n">
        <v>1</v>
      </c>
      <c r="C48" s="7" t="n">
        <v>45108</v>
      </c>
      <c r="D48" s="6" t="n">
        <f aca="false">03_Initial_Recognition!$B$10</f>
        <v>4902114.65847224</v>
      </c>
      <c r="E48" s="6" t="n">
        <f aca="false">0</f>
        <v>0</v>
      </c>
      <c r="F48" s="6" t="n">
        <f aca="false">0</f>
        <v>0</v>
      </c>
      <c r="G48" s="6" t="n">
        <f aca="false">0</f>
        <v>0</v>
      </c>
      <c r="H48" s="6" t="n">
        <f aca="false">D48</f>
        <v>4902114.65847224</v>
      </c>
      <c r="I48" s="1" t="n">
        <f aca="false">C48-01_Lease_Master!$D$10</f>
        <v>0</v>
      </c>
      <c r="J48" s="6" t="n">
        <f aca="false">0</f>
        <v>0</v>
      </c>
      <c r="K48" s="1" t="str">
        <f aca="false">IF(ABS(D48+E48-F48-H48)&lt;=01_Lease_Master!$AI$10,"PASS","CHECK")</f>
        <v>PASS</v>
      </c>
    </row>
    <row r="49" customFormat="false" ht="15" hidden="false" customHeight="true" outlineLevel="0" collapsed="false">
      <c r="A49" s="1" t="s">
        <v>88</v>
      </c>
      <c r="B49" s="1" t="n">
        <v>2</v>
      </c>
      <c r="C49" s="7" t="n">
        <v>45200</v>
      </c>
      <c r="D49" s="6" t="n">
        <f aca="false">H48</f>
        <v>4902114.65847224</v>
      </c>
      <c r="E49" s="6" t="n">
        <f aca="false">D49*((1+01_Lease_Master!$P$10)^(I49/365)-1)</f>
        <v>113428.625568128</v>
      </c>
      <c r="F49" s="6" t="n">
        <f aca="false">SUMIFS(02_Payment_Schedule!E:E,02_Payment_Schedule!A:A,A49,02_Payment_Schedule!D:D,C49)</f>
        <v>300000</v>
      </c>
      <c r="G49" s="6" t="n">
        <f aca="false">F49-E49</f>
        <v>186571.374431872</v>
      </c>
      <c r="H49" s="6" t="n">
        <f aca="false">MAX(0,D49+E49-F49)</f>
        <v>4715543.28404037</v>
      </c>
      <c r="I49" s="1" t="n">
        <f aca="false">C49-C48</f>
        <v>92</v>
      </c>
      <c r="J49" s="6" t="n">
        <f aca="false">D49*((1+01_Lease_Master!$P$10)^(I49/365)-1)</f>
        <v>113428.625568128</v>
      </c>
      <c r="K49" s="1" t="str">
        <f aca="false">IF(ABS(D49+E49-F49-H49)&lt;=01_Lease_Master!$AI$10,"PASS","CHECK")</f>
        <v>PASS</v>
      </c>
    </row>
    <row r="50" customFormat="false" ht="15" hidden="false" customHeight="true" outlineLevel="0" collapsed="false">
      <c r="A50" s="1" t="s">
        <v>88</v>
      </c>
      <c r="B50" s="1" t="n">
        <v>3</v>
      </c>
      <c r="C50" s="7" t="n">
        <v>45292</v>
      </c>
      <c r="D50" s="6" t="n">
        <f aca="false">H49</f>
        <v>4715543.28404037</v>
      </c>
      <c r="E50" s="6" t="n">
        <f aca="false">D50*((1+01_Lease_Master!$P$10)^(I50/365)-1)</f>
        <v>109111.60402813</v>
      </c>
      <c r="F50" s="6" t="n">
        <f aca="false">SUMIFS(02_Payment_Schedule!E:E,02_Payment_Schedule!A:A,A50,02_Payment_Schedule!D:D,C50)</f>
        <v>300000</v>
      </c>
      <c r="G50" s="6" t="n">
        <f aca="false">F50-E50</f>
        <v>190888.39597187</v>
      </c>
      <c r="H50" s="6" t="n">
        <f aca="false">MAX(0,D50+E50-F50)</f>
        <v>4524654.8880685</v>
      </c>
      <c r="I50" s="1" t="n">
        <f aca="false">C50-C49</f>
        <v>92</v>
      </c>
      <c r="J50" s="6" t="n">
        <f aca="false">D50*((1+01_Lease_Master!$P$10)^(I50/365)-1)</f>
        <v>109111.60402813</v>
      </c>
      <c r="K50" s="1" t="str">
        <f aca="false">IF(ABS(D50+E50-F50-H50)&lt;=01_Lease_Master!$AI$10,"PASS","CHECK")</f>
        <v>PASS</v>
      </c>
    </row>
    <row r="51" customFormat="false" ht="15" hidden="false" customHeight="true" outlineLevel="0" collapsed="false">
      <c r="A51" s="1" t="s">
        <v>88</v>
      </c>
      <c r="B51" s="1" t="n">
        <v>4</v>
      </c>
      <c r="C51" s="7" t="n">
        <v>45383</v>
      </c>
      <c r="D51" s="6" t="n">
        <f aca="false">H50</f>
        <v>4524654.8880685</v>
      </c>
      <c r="E51" s="6" t="n">
        <f aca="false">D51*((1+01_Lease_Master!$P$10)^(I51/365)-1)</f>
        <v>103543.784092224</v>
      </c>
      <c r="F51" s="6" t="n">
        <f aca="false">SUMIFS(02_Payment_Schedule!E:E,02_Payment_Schedule!A:A,A51,02_Payment_Schedule!D:D,C51)</f>
        <v>300000</v>
      </c>
      <c r="G51" s="6" t="n">
        <f aca="false">F51-E51</f>
        <v>196456.215907776</v>
      </c>
      <c r="H51" s="6" t="n">
        <f aca="false">MAX(0,D51+E51-F51)</f>
        <v>4328198.67216072</v>
      </c>
      <c r="I51" s="1" t="n">
        <f aca="false">C51-C50</f>
        <v>91</v>
      </c>
      <c r="J51" s="6" t="n">
        <f aca="false">D51*((1+01_Lease_Master!$P$10)^(I51/365)-1)</f>
        <v>103543.784092224</v>
      </c>
      <c r="K51" s="1" t="str">
        <f aca="false">IF(ABS(D51+E51-F51-H51)&lt;=01_Lease_Master!$AI$10,"PASS","CHECK")</f>
        <v>PASS</v>
      </c>
    </row>
    <row r="52" customFormat="false" ht="15" hidden="false" customHeight="true" outlineLevel="0" collapsed="false">
      <c r="A52" s="1" t="s">
        <v>88</v>
      </c>
      <c r="B52" s="1" t="n">
        <v>5</v>
      </c>
      <c r="C52" s="7" t="n">
        <v>45474</v>
      </c>
      <c r="D52" s="6" t="n">
        <f aca="false">H51</f>
        <v>4328198.67216072</v>
      </c>
      <c r="E52" s="6" t="n">
        <f aca="false">D52*((1+01_Lease_Master!$P$10)^(I52/365)-1)</f>
        <v>99048.0113743598</v>
      </c>
      <c r="F52" s="6" t="n">
        <f aca="false">SUMIFS(02_Payment_Schedule!E:E,02_Payment_Schedule!A:A,A52,02_Payment_Schedule!D:D,C52)</f>
        <v>312000</v>
      </c>
      <c r="G52" s="6" t="n">
        <f aca="false">F52-E52</f>
        <v>212951.98862564</v>
      </c>
      <c r="H52" s="6" t="n">
        <f aca="false">MAX(0,D52+E52-F52)</f>
        <v>4115246.68353508</v>
      </c>
      <c r="I52" s="1" t="n">
        <f aca="false">C52-C51</f>
        <v>91</v>
      </c>
      <c r="J52" s="6" t="n">
        <f aca="false">D52*((1+01_Lease_Master!$P$10)^(I52/365)-1)</f>
        <v>99048.0113743598</v>
      </c>
      <c r="K52" s="1" t="str">
        <f aca="false">IF(ABS(D52+E52-F52-H52)&lt;=01_Lease_Master!$AI$10,"PASS","CHECK")</f>
        <v>PASS</v>
      </c>
    </row>
    <row r="53" customFormat="false" ht="15" hidden="false" customHeight="true" outlineLevel="0" collapsed="false">
      <c r="A53" s="1" t="s">
        <v>88</v>
      </c>
      <c r="B53" s="1" t="n">
        <v>6</v>
      </c>
      <c r="C53" s="7" t="n">
        <v>45566</v>
      </c>
      <c r="D53" s="6" t="n">
        <f aca="false">H52</f>
        <v>4115246.68353508</v>
      </c>
      <c r="E53" s="6" t="n">
        <f aca="false">D53*((1+01_Lease_Master!$P$10)^(I53/365)-1)</f>
        <v>95221.5131036237</v>
      </c>
      <c r="F53" s="6" t="n">
        <f aca="false">SUMIFS(02_Payment_Schedule!E:E,02_Payment_Schedule!A:A,A53,02_Payment_Schedule!D:D,C53)</f>
        <v>312000</v>
      </c>
      <c r="G53" s="6" t="n">
        <f aca="false">F53-E53</f>
        <v>216778.486896376</v>
      </c>
      <c r="H53" s="6" t="n">
        <f aca="false">MAX(0,D53+E53-F53)</f>
        <v>3898468.19663871</v>
      </c>
      <c r="I53" s="1" t="n">
        <f aca="false">C53-C52</f>
        <v>92</v>
      </c>
      <c r="J53" s="6" t="n">
        <f aca="false">D53*((1+01_Lease_Master!$P$10)^(I53/365)-1)</f>
        <v>95221.5131036237</v>
      </c>
      <c r="K53" s="1" t="str">
        <f aca="false">IF(ABS(D53+E53-F53-H53)&lt;=01_Lease_Master!$AI$10,"PASS","CHECK")</f>
        <v>PASS</v>
      </c>
    </row>
    <row r="54" customFormat="false" ht="15" hidden="false" customHeight="true" outlineLevel="0" collapsed="false">
      <c r="A54" s="1" t="s">
        <v>88</v>
      </c>
      <c r="B54" s="1" t="n">
        <v>7</v>
      </c>
      <c r="C54" s="7" t="n">
        <v>45658</v>
      </c>
      <c r="D54" s="6" t="n">
        <f aca="false">H53</f>
        <v>3898468.19663871</v>
      </c>
      <c r="E54" s="6" t="n">
        <f aca="false">D54*((1+01_Lease_Master!$P$10)^(I54/365)-1)</f>
        <v>90205.5378491695</v>
      </c>
      <c r="F54" s="6" t="n">
        <f aca="false">SUMIFS(02_Payment_Schedule!E:E,02_Payment_Schedule!A:A,A54,02_Payment_Schedule!D:D,C54)</f>
        <v>312000</v>
      </c>
      <c r="G54" s="6" t="n">
        <f aca="false">F54-E54</f>
        <v>221794.462150831</v>
      </c>
      <c r="H54" s="6" t="n">
        <f aca="false">MAX(0,D54+E54-F54)</f>
        <v>3676673.73448788</v>
      </c>
      <c r="I54" s="1" t="n">
        <f aca="false">C54-C53</f>
        <v>92</v>
      </c>
      <c r="J54" s="6" t="n">
        <f aca="false">D54*((1+01_Lease_Master!$P$10)^(I54/365)-1)</f>
        <v>90205.5378491695</v>
      </c>
      <c r="K54" s="1" t="str">
        <f aca="false">IF(ABS(D54+E54-F54-H54)&lt;=01_Lease_Master!$AI$10,"PASS","CHECK")</f>
        <v>PASS</v>
      </c>
    </row>
    <row r="55" customFormat="false" ht="15" hidden="false" customHeight="true" outlineLevel="0" collapsed="false">
      <c r="A55" s="1" t="s">
        <v>88</v>
      </c>
      <c r="B55" s="1" t="n">
        <v>8</v>
      </c>
      <c r="C55" s="7" t="n">
        <v>45748</v>
      </c>
      <c r="D55" s="6" t="n">
        <f aca="false">H54</f>
        <v>3676673.73448788</v>
      </c>
      <c r="E55" s="6" t="n">
        <f aca="false">D55*((1+01_Lease_Master!$P$10)^(I55/365)-1)</f>
        <v>83203.3070313522</v>
      </c>
      <c r="F55" s="6" t="n">
        <f aca="false">SUMIFS(02_Payment_Schedule!E:E,02_Payment_Schedule!A:A,A55,02_Payment_Schedule!D:D,C55)</f>
        <v>312000</v>
      </c>
      <c r="G55" s="6" t="n">
        <f aca="false">F55-E55</f>
        <v>228796.692968648</v>
      </c>
      <c r="H55" s="6" t="n">
        <f aca="false">MAX(0,D55+E55-F55)</f>
        <v>3447877.04151923</v>
      </c>
      <c r="I55" s="1" t="n">
        <f aca="false">C55-C54</f>
        <v>90</v>
      </c>
      <c r="J55" s="6" t="n">
        <f aca="false">D55*((1+01_Lease_Master!$P$10)^(I55/365)-1)</f>
        <v>83203.3070313522</v>
      </c>
      <c r="K55" s="1" t="str">
        <f aca="false">IF(ABS(D55+E55-F55-H55)&lt;=01_Lease_Master!$AI$10,"PASS","CHECK")</f>
        <v>PASS</v>
      </c>
    </row>
    <row r="56" customFormat="false" ht="15" hidden="false" customHeight="true" outlineLevel="0" collapsed="false">
      <c r="A56" s="1" t="s">
        <v>88</v>
      </c>
      <c r="B56" s="1" t="n">
        <v>9</v>
      </c>
      <c r="C56" s="7" t="n">
        <v>45839</v>
      </c>
      <c r="D56" s="6" t="n">
        <f aca="false">H55</f>
        <v>3447877.04151923</v>
      </c>
      <c r="E56" s="6" t="n">
        <f aca="false">D56*((1+01_Lease_Master!$P$10)^(I56/365)-1)</f>
        <v>78902.4234544447</v>
      </c>
      <c r="F56" s="6" t="n">
        <f aca="false">SUMIFS(02_Payment_Schedule!E:E,02_Payment_Schedule!A:A,A56,02_Payment_Schedule!D:D,C56)</f>
        <v>324480</v>
      </c>
      <c r="G56" s="6" t="n">
        <f aca="false">F56-E56</f>
        <v>245577.576545555</v>
      </c>
      <c r="H56" s="6" t="n">
        <f aca="false">MAX(0,D56+E56-F56)</f>
        <v>3202299.46497367</v>
      </c>
      <c r="I56" s="1" t="n">
        <f aca="false">C56-C55</f>
        <v>91</v>
      </c>
      <c r="J56" s="6" t="n">
        <f aca="false">D56*((1+01_Lease_Master!$P$10)^(I56/365)-1)</f>
        <v>78902.4234544447</v>
      </c>
      <c r="K56" s="1" t="str">
        <f aca="false">IF(ABS(D56+E56-F56-H56)&lt;=01_Lease_Master!$AI$10,"PASS","CHECK")</f>
        <v>PASS</v>
      </c>
    </row>
    <row r="57" customFormat="false" ht="15" hidden="false" customHeight="true" outlineLevel="0" collapsed="false">
      <c r="A57" s="1" t="s">
        <v>88</v>
      </c>
      <c r="B57" s="1" t="n">
        <v>10</v>
      </c>
      <c r="C57" s="7" t="n">
        <v>45931</v>
      </c>
      <c r="D57" s="6" t="n">
        <f aca="false">H56</f>
        <v>3202299.46497367</v>
      </c>
      <c r="E57" s="6" t="n">
        <f aca="false">D57*((1+01_Lease_Master!$P$10)^(I57/365)-1)</f>
        <v>74097.0891698231</v>
      </c>
      <c r="F57" s="6" t="n">
        <f aca="false">SUMIFS(02_Payment_Schedule!E:E,02_Payment_Schedule!A:A,A57,02_Payment_Schedule!D:D,C57)</f>
        <v>324480</v>
      </c>
      <c r="G57" s="6" t="n">
        <f aca="false">F57-E57</f>
        <v>250382.910830177</v>
      </c>
      <c r="H57" s="6" t="n">
        <f aca="false">MAX(0,D57+E57-F57)</f>
        <v>2951916.5541435</v>
      </c>
      <c r="I57" s="1" t="n">
        <f aca="false">C57-C56</f>
        <v>92</v>
      </c>
      <c r="J57" s="6" t="n">
        <f aca="false">D57*((1+01_Lease_Master!$P$10)^(I57/365)-1)</f>
        <v>74097.0891698231</v>
      </c>
      <c r="K57" s="1" t="str">
        <f aca="false">IF(ABS(D57+E57-F57-H57)&lt;=01_Lease_Master!$AI$10,"PASS","CHECK")</f>
        <v>PASS</v>
      </c>
    </row>
    <row r="58" customFormat="false" ht="15" hidden="false" customHeight="true" outlineLevel="0" collapsed="false">
      <c r="A58" s="1" t="s">
        <v>88</v>
      </c>
      <c r="B58" s="1" t="n">
        <v>11</v>
      </c>
      <c r="C58" s="7" t="n">
        <v>46023</v>
      </c>
      <c r="D58" s="6" t="n">
        <f aca="false">H57</f>
        <v>2951916.5541435</v>
      </c>
      <c r="E58" s="6" t="n">
        <f aca="false">D58*((1+01_Lease_Master!$P$10)^(I58/365)-1)</f>
        <v>68303.5507848876</v>
      </c>
      <c r="F58" s="6" t="n">
        <f aca="false">SUMIFS(02_Payment_Schedule!E:E,02_Payment_Schedule!A:A,A58,02_Payment_Schedule!D:D,C58)</f>
        <v>324480</v>
      </c>
      <c r="G58" s="6" t="n">
        <f aca="false">F58-E58</f>
        <v>256176.449215112</v>
      </c>
      <c r="H58" s="6" t="n">
        <f aca="false">MAX(0,D58+E58-F58)</f>
        <v>2695740.10492838</v>
      </c>
      <c r="I58" s="1" t="n">
        <f aca="false">C58-C57</f>
        <v>92</v>
      </c>
      <c r="J58" s="6" t="n">
        <f aca="false">D58*((1+01_Lease_Master!$P$10)^(I58/365)-1)</f>
        <v>68303.5507848876</v>
      </c>
      <c r="K58" s="1" t="str">
        <f aca="false">IF(ABS(D58+E58-F58-H58)&lt;=01_Lease_Master!$AI$10,"PASS","CHECK")</f>
        <v>PASS</v>
      </c>
    </row>
    <row r="59" customFormat="false" ht="15" hidden="false" customHeight="true" outlineLevel="0" collapsed="false">
      <c r="A59" s="1" t="s">
        <v>88</v>
      </c>
      <c r="B59" s="1" t="n">
        <v>12</v>
      </c>
      <c r="C59" s="7" t="n">
        <v>46113</v>
      </c>
      <c r="D59" s="6" t="n">
        <f aca="false">H58</f>
        <v>2695740.10492838</v>
      </c>
      <c r="E59" s="6" t="n">
        <f aca="false">D59*((1+01_Lease_Master!$P$10)^(I59/365)-1)</f>
        <v>61004.7308585372</v>
      </c>
      <c r="F59" s="6" t="n">
        <f aca="false">SUMIFS(02_Payment_Schedule!E:E,02_Payment_Schedule!A:A,A59,02_Payment_Schedule!D:D,C59)</f>
        <v>324480</v>
      </c>
      <c r="G59" s="6" t="n">
        <f aca="false">F59-E59</f>
        <v>263475.269141463</v>
      </c>
      <c r="H59" s="6" t="n">
        <f aca="false">MAX(0,D59+E59-F59)</f>
        <v>2432264.83578692</v>
      </c>
      <c r="I59" s="1" t="n">
        <f aca="false">C59-C58</f>
        <v>90</v>
      </c>
      <c r="J59" s="6" t="n">
        <f aca="false">D59*((1+01_Lease_Master!$P$10)^(I59/365)-1)</f>
        <v>61004.7308585372</v>
      </c>
      <c r="K59" s="1" t="str">
        <f aca="false">IF(ABS(D59+E59-F59-H59)&lt;=01_Lease_Master!$AI$10,"PASS","CHECK")</f>
        <v>PASS</v>
      </c>
    </row>
    <row r="60" customFormat="false" ht="15" hidden="false" customHeight="true" outlineLevel="0" collapsed="false">
      <c r="A60" s="1" t="s">
        <v>88</v>
      </c>
      <c r="B60" s="1" t="n">
        <v>13</v>
      </c>
      <c r="C60" s="7" t="n">
        <v>46204</v>
      </c>
      <c r="D60" s="6" t="n">
        <f aca="false">H59</f>
        <v>2432264.83578692</v>
      </c>
      <c r="E60" s="6" t="n">
        <f aca="false">D60*((1+01_Lease_Master!$P$10)^(I60/365)-1)</f>
        <v>55660.7987221184</v>
      </c>
      <c r="F60" s="6" t="n">
        <f aca="false">SUMIFS(02_Payment_Schedule!E:E,02_Payment_Schedule!A:A,A60,02_Payment_Schedule!D:D,C60)</f>
        <v>330000</v>
      </c>
      <c r="G60" s="6" t="n">
        <f aca="false">F60-E60</f>
        <v>274339.201277882</v>
      </c>
      <c r="H60" s="6" t="n">
        <f aca="false">MAX(0,D60+E60-F60)</f>
        <v>2157925.63450904</v>
      </c>
      <c r="I60" s="1" t="n">
        <f aca="false">C60-C59</f>
        <v>91</v>
      </c>
      <c r="J60" s="6" t="n">
        <f aca="false">D60*((1+01_Lease_Master!$P$10)^(I60/365)-1)</f>
        <v>55660.7987221184</v>
      </c>
      <c r="K60" s="1" t="str">
        <f aca="false">IF(ABS(D60+E60-F60-H60)&lt;=01_Lease_Master!$AI$10,"PASS","CHECK")</f>
        <v>PASS</v>
      </c>
    </row>
    <row r="61" customFormat="false" ht="15" hidden="false" customHeight="true" outlineLevel="0" collapsed="false">
      <c r="A61" s="1" t="s">
        <v>88</v>
      </c>
      <c r="B61" s="1" t="s">
        <v>145</v>
      </c>
      <c r="C61" s="7" t="n">
        <v>46271</v>
      </c>
      <c r="D61" s="6" t="n">
        <f aca="false">IF($B$3&lt;01_Lease_Master!$D$10,0,IFERROR(LOOKUP(2,1/(A$6:A60=A61),H$6:H60),03_Initial_Recognition!$B$10))</f>
        <v>2157925.63450904</v>
      </c>
      <c r="E61" s="6" t="n">
        <f aca="false">IF($B$3&lt;01_Lease_Master!$D$10,0,D61*((1+01_Lease_Master!$P$10)^(I61/365)-1))</f>
        <v>36250.0332028234</v>
      </c>
      <c r="F61" s="6" t="n">
        <v>0</v>
      </c>
      <c r="G61" s="6" t="n">
        <v>0</v>
      </c>
      <c r="H61" s="6" t="n">
        <f aca="false">MAX(0,D61+E61)</f>
        <v>2194175.66771186</v>
      </c>
      <c r="I61" s="9" t="n">
        <f aca="false">IF($B$3&lt;01_Lease_Master!$D$10,0,C61-IFERROR(LOOKUP(2,1/(A$6:A60=A61),C$6:C60),01_Lease_Master!$D$10))</f>
        <v>67</v>
      </c>
      <c r="J61" s="6" t="n">
        <f aca="false">E61</f>
        <v>36250.0332028234</v>
      </c>
      <c r="K61" s="1" t="str">
        <f aca="false">IF(ABS(H61-SUMIFS(22_Independent_Validation!$E:$E,22_Independent_Validation!$A:$A,A61))&lt;=01_Lease_Master!$AI$10,"PASS","CHECK")</f>
        <v>PASS</v>
      </c>
    </row>
    <row r="62" customFormat="false" ht="15" hidden="false" customHeight="true" outlineLevel="0" collapsed="false">
      <c r="A62" s="1" t="s">
        <v>91</v>
      </c>
      <c r="B62" s="1" t="n">
        <v>1</v>
      </c>
      <c r="C62" s="7" t="n">
        <v>46204</v>
      </c>
      <c r="D62" s="6" t="n">
        <f aca="false">03_Initial_Recognition!$B$11</f>
        <v>3406262.77890827</v>
      </c>
      <c r="E62" s="6" t="n">
        <f aca="false">0</f>
        <v>0</v>
      </c>
      <c r="F62" s="6" t="n">
        <f aca="false">0</f>
        <v>0</v>
      </c>
      <c r="G62" s="6" t="n">
        <f aca="false">0</f>
        <v>0</v>
      </c>
      <c r="H62" s="6" t="n">
        <f aca="false">D62</f>
        <v>3406262.77890827</v>
      </c>
      <c r="I62" s="1" t="n">
        <f aca="false">C62-01_Lease_Master!$D$11</f>
        <v>0</v>
      </c>
      <c r="J62" s="6" t="n">
        <f aca="false">0</f>
        <v>0</v>
      </c>
      <c r="K62" s="1" t="str">
        <f aca="false">IF(ABS(D62+E62-F62-H62)&lt;=01_Lease_Master!$AI$11,"PASS","CHECK")</f>
        <v>PASS</v>
      </c>
    </row>
    <row r="63" customFormat="false" ht="15" hidden="false" customHeight="true" outlineLevel="0" collapsed="false">
      <c r="A63" s="1" t="s">
        <v>91</v>
      </c>
      <c r="B63" s="1" t="n">
        <v>2</v>
      </c>
      <c r="C63" s="7" t="n">
        <v>46234</v>
      </c>
      <c r="D63" s="6" t="n">
        <f aca="false">H62</f>
        <v>3406262.77890827</v>
      </c>
      <c r="E63" s="6" t="n">
        <f aca="false">D63*((1+01_Lease_Master!$P$11)^(I63/365)-1)</f>
        <v>22916.4320287323</v>
      </c>
      <c r="F63" s="6" t="n">
        <f aca="false">SUMIFS(02_Payment_Schedule!E:E,02_Payment_Schedule!A:A,A63,02_Payment_Schedule!D:D,C63)</f>
        <v>80000</v>
      </c>
      <c r="G63" s="6" t="n">
        <f aca="false">F63-E63</f>
        <v>57083.5679712677</v>
      </c>
      <c r="H63" s="6" t="n">
        <f aca="false">MAX(0,D63+E63-F63)</f>
        <v>3349179.210937</v>
      </c>
      <c r="I63" s="1" t="n">
        <f aca="false">C63-C62</f>
        <v>30</v>
      </c>
      <c r="J63" s="6" t="n">
        <f aca="false">D63*((1+01_Lease_Master!$P$11)^(I63/365)-1)</f>
        <v>22916.4320287323</v>
      </c>
      <c r="K63" s="1" t="str">
        <f aca="false">IF(ABS(D63+E63-F63-H63)&lt;=01_Lease_Master!$AI$11,"PASS","CHECK")</f>
        <v>PASS</v>
      </c>
    </row>
    <row r="64" customFormat="false" ht="15" hidden="false" customHeight="true" outlineLevel="0" collapsed="false">
      <c r="A64" s="1" t="s">
        <v>91</v>
      </c>
      <c r="B64" s="1" t="n">
        <v>3</v>
      </c>
      <c r="C64" s="7" t="n">
        <v>46265</v>
      </c>
      <c r="D64" s="6" t="n">
        <f aca="false">H63</f>
        <v>3349179.210937</v>
      </c>
      <c r="E64" s="6" t="n">
        <f aca="false">D64*((1+01_Lease_Master!$P$11)^(I64/365)-1)</f>
        <v>23286.0736721817</v>
      </c>
      <c r="F64" s="6" t="n">
        <f aca="false">SUMIFS(02_Payment_Schedule!E:E,02_Payment_Schedule!A:A,A64,02_Payment_Schedule!D:D,C64)</f>
        <v>80000</v>
      </c>
      <c r="G64" s="6" t="n">
        <f aca="false">F64-E64</f>
        <v>56713.9263278184</v>
      </c>
      <c r="H64" s="6" t="n">
        <f aca="false">MAX(0,D64+E64-F64)</f>
        <v>3292465.28460918</v>
      </c>
      <c r="I64" s="1" t="n">
        <f aca="false">C64-C63</f>
        <v>31</v>
      </c>
      <c r="J64" s="6" t="n">
        <f aca="false">D64*((1+01_Lease_Master!$P$11)^(I64/365)-1)</f>
        <v>23286.0736721817</v>
      </c>
      <c r="K64" s="1" t="str">
        <f aca="false">IF(ABS(D64+E64-F64-H64)&lt;=01_Lease_Master!$AI$11,"PASS","CHECK")</f>
        <v>PASS</v>
      </c>
    </row>
    <row r="65" customFormat="false" ht="15" hidden="false" customHeight="true" outlineLevel="0" collapsed="false">
      <c r="A65" s="1" t="s">
        <v>91</v>
      </c>
      <c r="B65" s="1" t="s">
        <v>145</v>
      </c>
      <c r="C65" s="7" t="n">
        <v>46271</v>
      </c>
      <c r="D65" s="6" t="n">
        <f aca="false">IF($B$3&lt;01_Lease_Master!$D$11,0,IFERROR(LOOKUP(2,1/(A$6:A64=A65),H$6:H64),03_Initial_Recognition!$B$11))</f>
        <v>3292465.28460918</v>
      </c>
      <c r="E65" s="6" t="n">
        <f aca="false">IF($B$3&lt;01_Lease_Master!$D$11,0,D65*((1+01_Lease_Master!$P$11)^(I65/365)-1))</f>
        <v>4418.29244269421</v>
      </c>
      <c r="F65" s="6" t="n">
        <v>0</v>
      </c>
      <c r="G65" s="6" t="n">
        <v>0</v>
      </c>
      <c r="H65" s="6" t="n">
        <f aca="false">MAX(0,D65+E65)</f>
        <v>3296883.57705188</v>
      </c>
      <c r="I65" s="9" t="n">
        <f aca="false">IF($B$3&lt;01_Lease_Master!$D$11,0,C65-IFERROR(LOOKUP(2,1/(A$6:A64=A65),C$6:C64),01_Lease_Master!$D$11))</f>
        <v>6</v>
      </c>
      <c r="J65" s="6" t="n">
        <f aca="false">E65</f>
        <v>4418.29244269421</v>
      </c>
      <c r="K65" s="1" t="str">
        <f aca="false">IF(ABS(H65-SUMIFS(22_Independent_Validation!$E:$E,22_Independent_Validation!$A:$A,A65))&lt;=01_Lease_Master!$AI$11,"PASS","CHECK")</f>
        <v>PASS</v>
      </c>
    </row>
    <row r="66" customFormat="false" ht="15" hidden="false" customHeight="true" outlineLevel="0" collapsed="false">
      <c r="A66" s="1" t="s">
        <v>94</v>
      </c>
      <c r="B66" s="1" t="n">
        <v>1</v>
      </c>
      <c r="C66" s="7" t="n">
        <v>45566</v>
      </c>
      <c r="D66" s="6" t="n">
        <f aca="false">03_Initial_Recognition!$B$12</f>
        <v>1927065.38824619</v>
      </c>
      <c r="E66" s="6" t="n">
        <f aca="false">0</f>
        <v>0</v>
      </c>
      <c r="F66" s="6" t="n">
        <f aca="false">0</f>
        <v>0</v>
      </c>
      <c r="G66" s="6" t="n">
        <f aca="false">0</f>
        <v>0</v>
      </c>
      <c r="H66" s="6" t="n">
        <f aca="false">D66</f>
        <v>1927065.38824619</v>
      </c>
      <c r="I66" s="1" t="n">
        <f aca="false">C66-01_Lease_Master!$D$12</f>
        <v>0</v>
      </c>
      <c r="J66" s="6" t="n">
        <f aca="false">0</f>
        <v>0</v>
      </c>
      <c r="K66" s="1" t="str">
        <f aca="false">IF(ABS(D66+E66-F66-H66)&lt;=01_Lease_Master!$AI$12,"PASS","CHECK")</f>
        <v>PASS</v>
      </c>
    </row>
    <row r="67" customFormat="false" ht="15" hidden="false" customHeight="true" outlineLevel="0" collapsed="false">
      <c r="A67" s="1" t="s">
        <v>94</v>
      </c>
      <c r="B67" s="1" t="n">
        <v>2</v>
      </c>
      <c r="C67" s="7" t="n">
        <v>45566</v>
      </c>
      <c r="D67" s="6" t="n">
        <f aca="false">H66</f>
        <v>1927065.38824619</v>
      </c>
      <c r="E67" s="6" t="n">
        <f aca="false">D67*((1+01_Lease_Master!$P$12)^(I67/365)-1)</f>
        <v>0</v>
      </c>
      <c r="F67" s="6" t="n">
        <f aca="false">SUMIFS(02_Payment_Schedule!E:E,02_Payment_Schedule!A:A,A67,02_Payment_Schedule!D:D,C67)</f>
        <v>200000</v>
      </c>
      <c r="G67" s="6" t="n">
        <f aca="false">F67-E67</f>
        <v>200000</v>
      </c>
      <c r="H67" s="6" t="n">
        <f aca="false">MAX(0,D67+E67-F67)</f>
        <v>1727065.38824619</v>
      </c>
      <c r="I67" s="1" t="n">
        <f aca="false">C67-C66</f>
        <v>0</v>
      </c>
      <c r="J67" s="6" t="n">
        <f aca="false">D67*((1+01_Lease_Master!$P$12)^(I67/365)-1)</f>
        <v>0</v>
      </c>
      <c r="K67" s="1" t="str">
        <f aca="false">IF(ABS(D67+E67-F67-H67)&lt;=01_Lease_Master!$AI$12,"PASS","CHECK")</f>
        <v>PASS</v>
      </c>
    </row>
    <row r="68" customFormat="false" ht="15" hidden="false" customHeight="true" outlineLevel="0" collapsed="false">
      <c r="A68" s="1" t="s">
        <v>94</v>
      </c>
      <c r="B68" s="1" t="n">
        <v>3</v>
      </c>
      <c r="C68" s="7" t="n">
        <v>45748</v>
      </c>
      <c r="D68" s="6" t="n">
        <f aca="false">H67</f>
        <v>1727065.38824619</v>
      </c>
      <c r="E68" s="6" t="n">
        <f aca="false">D68*((1+01_Lease_Master!$P$12)^(I68/365)-1)</f>
        <v>84059.5929767402</v>
      </c>
      <c r="F68" s="6" t="n">
        <f aca="false">SUMIFS(02_Payment_Schedule!E:E,02_Payment_Schedule!A:A,A68,02_Payment_Schedule!D:D,C68)</f>
        <v>200000</v>
      </c>
      <c r="G68" s="6" t="n">
        <f aca="false">F68-E68</f>
        <v>115940.40702326</v>
      </c>
      <c r="H68" s="6" t="n">
        <f aca="false">MAX(0,D68+E68-F68)</f>
        <v>1611124.98122293</v>
      </c>
      <c r="I68" s="1" t="n">
        <f aca="false">C68-C67</f>
        <v>182</v>
      </c>
      <c r="J68" s="6" t="n">
        <f aca="false">D68*((1+01_Lease_Master!$P$12)^(I68/365)-1)</f>
        <v>84059.5929767402</v>
      </c>
      <c r="K68" s="1" t="str">
        <f aca="false">IF(ABS(D68+E68-F68-H68)&lt;=01_Lease_Master!$AI$12,"PASS","CHECK")</f>
        <v>PASS</v>
      </c>
    </row>
    <row r="69" customFormat="false" ht="15" hidden="false" customHeight="true" outlineLevel="0" collapsed="false">
      <c r="A69" s="1" t="s">
        <v>94</v>
      </c>
      <c r="B69" s="1" t="n">
        <v>4</v>
      </c>
      <c r="C69" s="7" t="n">
        <v>45931</v>
      </c>
      <c r="D69" s="6" t="n">
        <f aca="false">H68</f>
        <v>1611124.98122293</v>
      </c>
      <c r="E69" s="6" t="n">
        <f aca="false">D69*((1+01_Lease_Master!$P$12)^(I69/365)-1)</f>
        <v>78857.7875328059</v>
      </c>
      <c r="F69" s="6" t="n">
        <f aca="false">SUMIFS(02_Payment_Schedule!E:E,02_Payment_Schedule!A:A,A69,02_Payment_Schedule!D:D,C69)</f>
        <v>210000</v>
      </c>
      <c r="G69" s="6" t="n">
        <f aca="false">F69-E69</f>
        <v>131142.212467194</v>
      </c>
      <c r="H69" s="6" t="n">
        <f aca="false">MAX(0,D69+E69-F69)</f>
        <v>1479982.76875574</v>
      </c>
      <c r="I69" s="1" t="n">
        <f aca="false">C69-C68</f>
        <v>183</v>
      </c>
      <c r="J69" s="6" t="n">
        <f aca="false">D69*((1+01_Lease_Master!$P$12)^(I69/365)-1)</f>
        <v>78857.7875328059</v>
      </c>
      <c r="K69" s="1" t="str">
        <f aca="false">IF(ABS(D69+E69-F69-H69)&lt;=01_Lease_Master!$AI$12,"PASS","CHECK")</f>
        <v>PASS</v>
      </c>
    </row>
    <row r="70" customFormat="false" ht="15" hidden="false" customHeight="true" outlineLevel="0" collapsed="false">
      <c r="A70" s="1" t="s">
        <v>94</v>
      </c>
      <c r="B70" s="1" t="n">
        <v>5</v>
      </c>
      <c r="C70" s="7" t="n">
        <v>46113</v>
      </c>
      <c r="D70" s="6" t="n">
        <f aca="false">H69</f>
        <v>1479982.76875574</v>
      </c>
      <c r="E70" s="6" t="n">
        <f aca="false">D70*((1+01_Lease_Master!$P$12)^(I70/365)-1)</f>
        <v>72033.6068343826</v>
      </c>
      <c r="F70" s="6" t="n">
        <f aca="false">SUMIFS(02_Payment_Schedule!E:E,02_Payment_Schedule!A:A,A70,02_Payment_Schedule!D:D,C70)</f>
        <v>240000</v>
      </c>
      <c r="G70" s="6" t="n">
        <f aca="false">F70-E70</f>
        <v>167966.393165617</v>
      </c>
      <c r="H70" s="6" t="n">
        <f aca="false">MAX(0,D70+E70-F70)</f>
        <v>1312016.37559012</v>
      </c>
      <c r="I70" s="1" t="n">
        <f aca="false">C70-C69</f>
        <v>182</v>
      </c>
      <c r="J70" s="6" t="n">
        <f aca="false">D70*((1+01_Lease_Master!$P$12)^(I70/365)-1)</f>
        <v>72033.6068343826</v>
      </c>
      <c r="K70" s="1" t="str">
        <f aca="false">IF(ABS(D70+E70-F70-H70)&lt;=01_Lease_Master!$AI$12,"PASS","CHECK")</f>
        <v>PASS</v>
      </c>
    </row>
    <row r="71" customFormat="false" ht="15" hidden="false" customHeight="true" outlineLevel="0" collapsed="false">
      <c r="A71" s="1" t="s">
        <v>94</v>
      </c>
      <c r="B71" s="1" t="s">
        <v>145</v>
      </c>
      <c r="C71" s="7" t="n">
        <v>46271</v>
      </c>
      <c r="D71" s="6" t="n">
        <f aca="false">IF($B$3&lt;01_Lease_Master!$D$12,0,IFERROR(LOOKUP(2,1/(A$6:A70=A71),H$6:H70),03_Initial_Recognition!$B$12))</f>
        <v>1312016.37559012</v>
      </c>
      <c r="E71" s="6" t="n">
        <f aca="false">IF($B$3&lt;01_Lease_Master!$D$12,0,D71*((1+01_Lease_Master!$P$12)^(I71/365)-1))</f>
        <v>55262.7551837195</v>
      </c>
      <c r="F71" s="6" t="n">
        <v>0</v>
      </c>
      <c r="G71" s="6" t="n">
        <v>0</v>
      </c>
      <c r="H71" s="6" t="n">
        <f aca="false">MAX(0,D71+E71)</f>
        <v>1367279.13077384</v>
      </c>
      <c r="I71" s="9" t="n">
        <f aca="false">IF($B$3&lt;01_Lease_Master!$D$12,0,C71-IFERROR(LOOKUP(2,1/(A$6:A70=A71),C$6:C70),01_Lease_Master!$D$12))</f>
        <v>158</v>
      </c>
      <c r="J71" s="6" t="n">
        <f aca="false">E71</f>
        <v>55262.7551837195</v>
      </c>
      <c r="K71" s="1" t="str">
        <f aca="false">IF(ABS(H71-SUMIFS(22_Independent_Validation!$E:$E,22_Independent_Validation!$A:$A,A71))&lt;=01_Lease_Master!$AI$12,"PASS","CHECK")</f>
        <v>PASS</v>
      </c>
    </row>
    <row r="72" customFormat="false" ht="15" hidden="false" customHeight="true" outlineLevel="0" collapsed="false">
      <c r="A72" s="1" t="s">
        <v>97</v>
      </c>
      <c r="B72" s="1" t="n">
        <v>1</v>
      </c>
      <c r="C72" s="7" t="n">
        <v>44927</v>
      </c>
      <c r="D72" s="6" t="n">
        <f aca="false">03_Initial_Recognition!$B$13</f>
        <v>58951.2706803806</v>
      </c>
      <c r="E72" s="6" t="n">
        <f aca="false">0</f>
        <v>0</v>
      </c>
      <c r="F72" s="6" t="n">
        <f aca="false">0</f>
        <v>0</v>
      </c>
      <c r="G72" s="6" t="n">
        <f aca="false">0</f>
        <v>0</v>
      </c>
      <c r="H72" s="6" t="n">
        <f aca="false">D72</f>
        <v>58951.2706803806</v>
      </c>
      <c r="I72" s="1" t="n">
        <f aca="false">C72-01_Lease_Master!$D$13</f>
        <v>0</v>
      </c>
      <c r="J72" s="6" t="n">
        <f aca="false">0</f>
        <v>0</v>
      </c>
      <c r="K72" s="1" t="str">
        <f aca="false">IF(ABS(D72+E72-F72-H72)&lt;=01_Lease_Master!$AI$13,"PASS","CHECK")</f>
        <v>PASS</v>
      </c>
    </row>
    <row r="73" customFormat="false" ht="15" hidden="false" customHeight="true" outlineLevel="0" collapsed="false">
      <c r="A73" s="1" t="s">
        <v>97</v>
      </c>
      <c r="B73" s="1" t="n">
        <v>2</v>
      </c>
      <c r="C73" s="7" t="n">
        <v>45292</v>
      </c>
      <c r="D73" s="6" t="n">
        <f aca="false">H72</f>
        <v>58951.2706803806</v>
      </c>
      <c r="E73" s="6" t="n">
        <f aca="false">D73*((1+01_Lease_Master!$P$13)^(I73/365)-1)</f>
        <v>5010.85800783235</v>
      </c>
      <c r="F73" s="6" t="n">
        <f aca="false">SUMIFS(02_Payment_Schedule!E:E,02_Payment_Schedule!A:A,A73,02_Payment_Schedule!D:D,C73)</f>
        <v>18000</v>
      </c>
      <c r="G73" s="6" t="n">
        <f aca="false">F73-E73</f>
        <v>12989.1419921676</v>
      </c>
      <c r="H73" s="6" t="n">
        <f aca="false">MAX(0,D73+E73-F73)</f>
        <v>45962.128688213</v>
      </c>
      <c r="I73" s="1" t="n">
        <f aca="false">C73-C72</f>
        <v>365</v>
      </c>
      <c r="J73" s="6" t="n">
        <f aca="false">D73*((1+01_Lease_Master!$P$13)^(I73/365)-1)</f>
        <v>5010.85800783235</v>
      </c>
      <c r="K73" s="1" t="str">
        <f aca="false">IF(ABS(D73+E73-F73-H73)&lt;=01_Lease_Master!$AI$13,"PASS","CHECK")</f>
        <v>PASS</v>
      </c>
    </row>
    <row r="74" customFormat="false" ht="15" hidden="false" customHeight="true" outlineLevel="0" collapsed="false">
      <c r="A74" s="1" t="s">
        <v>97</v>
      </c>
      <c r="B74" s="1" t="n">
        <v>3</v>
      </c>
      <c r="C74" s="7" t="n">
        <v>45658</v>
      </c>
      <c r="D74" s="6" t="n">
        <f aca="false">H73</f>
        <v>45962.128688213</v>
      </c>
      <c r="E74" s="6" t="n">
        <f aca="false">D74*((1+01_Lease_Master!$P$13)^(I74/365)-1)</f>
        <v>3917.92822529123</v>
      </c>
      <c r="F74" s="6" t="n">
        <f aca="false">SUMIFS(02_Payment_Schedule!E:E,02_Payment_Schedule!A:A,A74,02_Payment_Schedule!D:D,C74)</f>
        <v>18000</v>
      </c>
      <c r="G74" s="6" t="n">
        <f aca="false">F74-E74</f>
        <v>14082.0717747088</v>
      </c>
      <c r="H74" s="6" t="n">
        <f aca="false">MAX(0,D74+E74-F74)</f>
        <v>31880.0569135042</v>
      </c>
      <c r="I74" s="1" t="n">
        <f aca="false">C74-C73</f>
        <v>366</v>
      </c>
      <c r="J74" s="6" t="n">
        <f aca="false">D74*((1+01_Lease_Master!$P$13)^(I74/365)-1)</f>
        <v>3917.92822529123</v>
      </c>
      <c r="K74" s="1" t="str">
        <f aca="false">IF(ABS(D74+E74-F74-H74)&lt;=01_Lease_Master!$AI$13,"PASS","CHECK")</f>
        <v>PASS</v>
      </c>
    </row>
    <row r="75" customFormat="false" ht="15" hidden="false" customHeight="true" outlineLevel="0" collapsed="false">
      <c r="A75" s="1" t="s">
        <v>97</v>
      </c>
      <c r="B75" s="1" t="n">
        <v>4</v>
      </c>
      <c r="C75" s="7" t="n">
        <v>46023</v>
      </c>
      <c r="D75" s="6" t="n">
        <f aca="false">H74</f>
        <v>31880.0569135042</v>
      </c>
      <c r="E75" s="6" t="n">
        <f aca="false">D75*((1+01_Lease_Master!$P$13)^(I75/365)-1)</f>
        <v>2709.80483764786</v>
      </c>
      <c r="F75" s="6" t="n">
        <f aca="false">SUMIFS(02_Payment_Schedule!E:E,02_Payment_Schedule!A:A,A75,02_Payment_Schedule!D:D,C75)</f>
        <v>18000</v>
      </c>
      <c r="G75" s="6" t="n">
        <f aca="false">F75-E75</f>
        <v>15290.1951623521</v>
      </c>
      <c r="H75" s="6" t="n">
        <f aca="false">MAX(0,D75+E75-F75)</f>
        <v>16589.8617511521</v>
      </c>
      <c r="I75" s="1" t="n">
        <f aca="false">C75-C74</f>
        <v>365</v>
      </c>
      <c r="J75" s="6" t="n">
        <f aca="false">D75*((1+01_Lease_Master!$P$13)^(I75/365)-1)</f>
        <v>2709.80483764786</v>
      </c>
      <c r="K75" s="1" t="str">
        <f aca="false">IF(ABS(D75+E75-F75-H75)&lt;=01_Lease_Master!$AI$13,"PASS","CHECK")</f>
        <v>PASS</v>
      </c>
    </row>
    <row r="76" customFormat="false" ht="15" hidden="false" customHeight="true" outlineLevel="0" collapsed="false">
      <c r="A76" s="1" t="s">
        <v>97</v>
      </c>
      <c r="B76" s="1" t="s">
        <v>145</v>
      </c>
      <c r="C76" s="7" t="n">
        <v>46271</v>
      </c>
      <c r="D76" s="6" t="n">
        <f aca="false">IF($B$3&lt;01_Lease_Master!$D$13,0,IFERROR(LOOKUP(2,1/(A$6:A75=A76),H$6:H75),03_Initial_Recognition!$B$13))</f>
        <v>16589.8617511521</v>
      </c>
      <c r="E76" s="6" t="n">
        <f aca="false">IF($B$3&lt;01_Lease_Master!$D$13,0,D76*((1+01_Lease_Master!$P$13)^(I76/365)-1))</f>
        <v>945.534142830575</v>
      </c>
      <c r="F76" s="6" t="n">
        <v>0</v>
      </c>
      <c r="G76" s="6" t="n">
        <v>0</v>
      </c>
      <c r="H76" s="6" t="n">
        <f aca="false">MAX(0,D76+E76)</f>
        <v>17535.3958939827</v>
      </c>
      <c r="I76" s="9" t="n">
        <f aca="false">IF($B$3&lt;01_Lease_Master!$D$13,0,C76-IFERROR(LOOKUP(2,1/(A$6:A75=A76),C$6:C75),01_Lease_Master!$D$13))</f>
        <v>248</v>
      </c>
      <c r="J76" s="6" t="n">
        <f aca="false">E76</f>
        <v>945.534142830575</v>
      </c>
      <c r="K76" s="1" t="str">
        <f aca="false">IF(ABS(H76-SUMIFS(22_Independent_Validation!$E:$E,22_Independent_Validation!$A:$A,A76))&lt;=01_Lease_Master!$AI$13,"PASS","CHECK")</f>
        <v>PASS</v>
      </c>
    </row>
    <row r="77" customFormat="false" ht="15" hidden="false" customHeight="true" outlineLevel="0" collapsed="false">
      <c r="A77" s="1" t="s">
        <v>101</v>
      </c>
      <c r="B77" s="1" t="n">
        <v>1</v>
      </c>
      <c r="C77" s="7" t="n">
        <v>45809</v>
      </c>
      <c r="D77" s="6" t="n">
        <f aca="false">03_Initial_Recognition!$B$14</f>
        <v>4476019.37346525</v>
      </c>
      <c r="E77" s="6" t="n">
        <f aca="false">0</f>
        <v>0</v>
      </c>
      <c r="F77" s="6" t="n">
        <f aca="false">0</f>
        <v>0</v>
      </c>
      <c r="G77" s="6" t="n">
        <f aca="false">0</f>
        <v>0</v>
      </c>
      <c r="H77" s="6" t="n">
        <f aca="false">D77</f>
        <v>4476019.37346525</v>
      </c>
      <c r="I77" s="1" t="n">
        <f aca="false">C77-01_Lease_Master!$D$14</f>
        <v>0</v>
      </c>
      <c r="J77" s="6" t="n">
        <f aca="false">0</f>
        <v>0</v>
      </c>
      <c r="K77" s="1" t="str">
        <f aca="false">IF(ABS(D77+E77-F77-H77)&lt;=01_Lease_Master!$AI$14,"PASS","CHECK")</f>
        <v>PASS</v>
      </c>
    </row>
    <row r="78" customFormat="false" ht="15" hidden="false" customHeight="true" outlineLevel="0" collapsed="false">
      <c r="A78" s="1" t="s">
        <v>101</v>
      </c>
      <c r="B78" s="1" t="n">
        <v>2</v>
      </c>
      <c r="C78" s="7" t="n">
        <v>45839</v>
      </c>
      <c r="D78" s="6" t="n">
        <f aca="false">H77</f>
        <v>4476019.37346525</v>
      </c>
      <c r="E78" s="6" t="n">
        <f aca="false">D78*((1+01_Lease_Master!$P$14)^(I78/365)-1)</f>
        <v>36883.4346300776</v>
      </c>
      <c r="F78" s="6" t="n">
        <f aca="false">SUMIFS(02_Payment_Schedule!E:E,02_Payment_Schedule!A:A,A78,02_Payment_Schedule!D:D,C78)</f>
        <v>100000</v>
      </c>
      <c r="G78" s="6" t="n">
        <f aca="false">F78-E78</f>
        <v>63116.5653699224</v>
      </c>
      <c r="H78" s="6" t="n">
        <f aca="false">MAX(0,D78+E78-F78)</f>
        <v>4412902.80809533</v>
      </c>
      <c r="I78" s="1" t="n">
        <f aca="false">C78-C77</f>
        <v>30</v>
      </c>
      <c r="J78" s="6" t="n">
        <f aca="false">D78*((1+01_Lease_Master!$P$14)^(I78/365)-1)</f>
        <v>36883.4346300776</v>
      </c>
      <c r="K78" s="1" t="str">
        <f aca="false">IF(ABS(D78+E78-F78-H78)&lt;=01_Lease_Master!$AI$14,"PASS","CHECK")</f>
        <v>PASS</v>
      </c>
    </row>
    <row r="79" customFormat="false" ht="15" hidden="false" customHeight="true" outlineLevel="0" collapsed="false">
      <c r="A79" s="1" t="s">
        <v>101</v>
      </c>
      <c r="B79" s="1" t="n">
        <v>3</v>
      </c>
      <c r="C79" s="7" t="n">
        <v>45870</v>
      </c>
      <c r="D79" s="6" t="n">
        <f aca="false">H78</f>
        <v>4412902.80809533</v>
      </c>
      <c r="E79" s="6" t="n">
        <f aca="false">D79*((1+01_Lease_Master!$P$14)^(I79/365)-1)</f>
        <v>37580.5977147125</v>
      </c>
      <c r="F79" s="6" t="n">
        <f aca="false">SUMIFS(02_Payment_Schedule!E:E,02_Payment_Schedule!A:A,A79,02_Payment_Schedule!D:D,C79)</f>
        <v>100000</v>
      </c>
      <c r="G79" s="6" t="n">
        <f aca="false">F79-E79</f>
        <v>62419.4022852875</v>
      </c>
      <c r="H79" s="6" t="n">
        <f aca="false">MAX(0,D79+E79-F79)</f>
        <v>4350483.40581004</v>
      </c>
      <c r="I79" s="1" t="n">
        <f aca="false">C79-C78</f>
        <v>31</v>
      </c>
      <c r="J79" s="6" t="n">
        <f aca="false">D79*((1+01_Lease_Master!$P$14)^(I79/365)-1)</f>
        <v>37580.5977147125</v>
      </c>
      <c r="K79" s="1" t="str">
        <f aca="false">IF(ABS(D79+E79-F79-H79)&lt;=01_Lease_Master!$AI$14,"PASS","CHECK")</f>
        <v>PASS</v>
      </c>
    </row>
    <row r="80" customFormat="false" ht="15" hidden="false" customHeight="true" outlineLevel="0" collapsed="false">
      <c r="A80" s="1" t="s">
        <v>101</v>
      </c>
      <c r="B80" s="1" t="n">
        <v>4</v>
      </c>
      <c r="C80" s="7" t="n">
        <v>45901</v>
      </c>
      <c r="D80" s="6" t="n">
        <f aca="false">H79</f>
        <v>4350483.40581004</v>
      </c>
      <c r="E80" s="6" t="n">
        <f aca="false">D80*((1+01_Lease_Master!$P$14)^(I80/365)-1)</f>
        <v>37049.029595294</v>
      </c>
      <c r="F80" s="6" t="n">
        <f aca="false">SUMIFS(02_Payment_Schedule!E:E,02_Payment_Schedule!A:A,A80,02_Payment_Schedule!D:D,C80)</f>
        <v>100000</v>
      </c>
      <c r="G80" s="6" t="n">
        <f aca="false">F80-E80</f>
        <v>62950.9704047061</v>
      </c>
      <c r="H80" s="6" t="n">
        <f aca="false">MAX(0,D80+E80-F80)</f>
        <v>4287532.43540533</v>
      </c>
      <c r="I80" s="1" t="n">
        <f aca="false">C80-C79</f>
        <v>31</v>
      </c>
      <c r="J80" s="6" t="n">
        <f aca="false">D80*((1+01_Lease_Master!$P$14)^(I80/365)-1)</f>
        <v>37049.029595294</v>
      </c>
      <c r="K80" s="1" t="str">
        <f aca="false">IF(ABS(D80+E80-F80-H80)&lt;=01_Lease_Master!$AI$14,"PASS","CHECK")</f>
        <v>PASS</v>
      </c>
    </row>
    <row r="81" customFormat="false" ht="15" hidden="false" customHeight="true" outlineLevel="0" collapsed="false">
      <c r="A81" s="1" t="s">
        <v>101</v>
      </c>
      <c r="B81" s="1" t="n">
        <v>5</v>
      </c>
      <c r="C81" s="7" t="n">
        <v>45931</v>
      </c>
      <c r="D81" s="6" t="n">
        <f aca="false">H80</f>
        <v>4287532.43540533</v>
      </c>
      <c r="E81" s="6" t="n">
        <f aca="false">D81*((1+01_Lease_Master!$P$14)^(I81/365)-1)</f>
        <v>35330.2586765128</v>
      </c>
      <c r="F81" s="6" t="n">
        <f aca="false">SUMIFS(02_Payment_Schedule!E:E,02_Payment_Schedule!A:A,A81,02_Payment_Schedule!D:D,C81)</f>
        <v>100000</v>
      </c>
      <c r="G81" s="6" t="n">
        <f aca="false">F81-E81</f>
        <v>64669.7413234872</v>
      </c>
      <c r="H81" s="6" t="n">
        <f aca="false">MAX(0,D81+E81-F81)</f>
        <v>4222862.69408185</v>
      </c>
      <c r="I81" s="1" t="n">
        <f aca="false">C81-C80</f>
        <v>30</v>
      </c>
      <c r="J81" s="6" t="n">
        <f aca="false">D81*((1+01_Lease_Master!$P$14)^(I81/365)-1)</f>
        <v>35330.2586765128</v>
      </c>
      <c r="K81" s="1" t="str">
        <f aca="false">IF(ABS(D81+E81-F81-H81)&lt;=01_Lease_Master!$AI$14,"PASS","CHECK")</f>
        <v>PASS</v>
      </c>
    </row>
    <row r="82" customFormat="false" ht="15" hidden="false" customHeight="true" outlineLevel="0" collapsed="false">
      <c r="A82" s="1" t="s">
        <v>101</v>
      </c>
      <c r="B82" s="1" t="n">
        <v>6</v>
      </c>
      <c r="C82" s="7" t="n">
        <v>45962</v>
      </c>
      <c r="D82" s="6" t="n">
        <f aca="false">H81</f>
        <v>4222862.69408185</v>
      </c>
      <c r="E82" s="6" t="n">
        <f aca="false">D82*((1+01_Lease_Master!$P$14)^(I82/365)-1)</f>
        <v>35962.202435012</v>
      </c>
      <c r="F82" s="6" t="n">
        <f aca="false">SUMIFS(02_Payment_Schedule!E:E,02_Payment_Schedule!A:A,A82,02_Payment_Schedule!D:D,C82)</f>
        <v>100000</v>
      </c>
      <c r="G82" s="6" t="n">
        <f aca="false">F82-E82</f>
        <v>64037.797564988</v>
      </c>
      <c r="H82" s="6" t="n">
        <f aca="false">MAX(0,D82+E82-F82)</f>
        <v>4158824.89651686</v>
      </c>
      <c r="I82" s="1" t="n">
        <f aca="false">C82-C81</f>
        <v>31</v>
      </c>
      <c r="J82" s="6" t="n">
        <f aca="false">D82*((1+01_Lease_Master!$P$14)^(I82/365)-1)</f>
        <v>35962.202435012</v>
      </c>
      <c r="K82" s="1" t="str">
        <f aca="false">IF(ABS(D82+E82-F82-H82)&lt;=01_Lease_Master!$AI$14,"PASS","CHECK")</f>
        <v>PASS</v>
      </c>
    </row>
    <row r="83" customFormat="false" ht="15" hidden="false" customHeight="true" outlineLevel="0" collapsed="false">
      <c r="A83" s="1" t="s">
        <v>101</v>
      </c>
      <c r="B83" s="1" t="n">
        <v>7</v>
      </c>
      <c r="C83" s="7" t="n">
        <v>45992</v>
      </c>
      <c r="D83" s="6" t="n">
        <f aca="false">H82</f>
        <v>4158824.89651686</v>
      </c>
      <c r="E83" s="6" t="n">
        <f aca="false">D83*((1+01_Lease_Master!$P$14)^(I83/365)-1)</f>
        <v>34269.6787949481</v>
      </c>
      <c r="F83" s="6" t="n">
        <f aca="false">SUMIFS(02_Payment_Schedule!E:E,02_Payment_Schedule!A:A,A83,02_Payment_Schedule!D:D,C83)</f>
        <v>100000</v>
      </c>
      <c r="G83" s="6" t="n">
        <f aca="false">F83-E83</f>
        <v>65730.3212050519</v>
      </c>
      <c r="H83" s="6" t="n">
        <f aca="false">MAX(0,D83+E83-F83)</f>
        <v>4093094.5753118</v>
      </c>
      <c r="I83" s="1" t="n">
        <f aca="false">C83-C82</f>
        <v>30</v>
      </c>
      <c r="J83" s="6" t="n">
        <f aca="false">D83*((1+01_Lease_Master!$P$14)^(I83/365)-1)</f>
        <v>34269.6787949481</v>
      </c>
      <c r="K83" s="1" t="str">
        <f aca="false">IF(ABS(D83+E83-F83-H83)&lt;=01_Lease_Master!$AI$14,"PASS","CHECK")</f>
        <v>PASS</v>
      </c>
    </row>
    <row r="84" customFormat="false" ht="15" hidden="false" customHeight="true" outlineLevel="0" collapsed="false">
      <c r="A84" s="1" t="s">
        <v>101</v>
      </c>
      <c r="B84" s="1" t="n">
        <v>8</v>
      </c>
      <c r="C84" s="7" t="n">
        <v>46023</v>
      </c>
      <c r="D84" s="6" t="n">
        <f aca="false">H83</f>
        <v>4093094.5753118</v>
      </c>
      <c r="E84" s="6" t="n">
        <f aca="false">D84*((1+01_Lease_Master!$P$14)^(I84/365)-1)</f>
        <v>34857.087801908</v>
      </c>
      <c r="F84" s="6" t="n">
        <f aca="false">SUMIFS(02_Payment_Schedule!E:E,02_Payment_Schedule!A:A,A84,02_Payment_Schedule!D:D,C84)</f>
        <v>100000</v>
      </c>
      <c r="G84" s="6" t="n">
        <f aca="false">F84-E84</f>
        <v>65142.912198092</v>
      </c>
      <c r="H84" s="6" t="n">
        <f aca="false">MAX(0,D84+E84-F84)</f>
        <v>4027951.66311371</v>
      </c>
      <c r="I84" s="1" t="n">
        <f aca="false">C84-C83</f>
        <v>31</v>
      </c>
      <c r="J84" s="6" t="n">
        <f aca="false">D84*((1+01_Lease_Master!$P$14)^(I84/365)-1)</f>
        <v>34857.087801908</v>
      </c>
      <c r="K84" s="1" t="str">
        <f aca="false">IF(ABS(D84+E84-F84-H84)&lt;=01_Lease_Master!$AI$14,"PASS","CHECK")</f>
        <v>PASS</v>
      </c>
    </row>
    <row r="85" customFormat="false" ht="15" hidden="false" customHeight="true" outlineLevel="0" collapsed="false">
      <c r="A85" s="1" t="s">
        <v>101</v>
      </c>
      <c r="B85" s="1" t="n">
        <v>9</v>
      </c>
      <c r="C85" s="7" t="n">
        <v>46054</v>
      </c>
      <c r="D85" s="6" t="n">
        <f aca="false">H84</f>
        <v>4027951.66311371</v>
      </c>
      <c r="E85" s="6" t="n">
        <f aca="false">D85*((1+01_Lease_Master!$P$14)^(I85/365)-1)</f>
        <v>34302.3260761817</v>
      </c>
      <c r="F85" s="6" t="n">
        <f aca="false">SUMIFS(02_Payment_Schedule!E:E,02_Payment_Schedule!A:A,A85,02_Payment_Schedule!D:D,C85)</f>
        <v>100000</v>
      </c>
      <c r="G85" s="6" t="n">
        <f aca="false">F85-E85</f>
        <v>65697.6739238183</v>
      </c>
      <c r="H85" s="6" t="n">
        <f aca="false">MAX(0,D85+E85-F85)</f>
        <v>3962253.98918989</v>
      </c>
      <c r="I85" s="1" t="n">
        <f aca="false">C85-C84</f>
        <v>31</v>
      </c>
      <c r="J85" s="6" t="n">
        <f aca="false">D85*((1+01_Lease_Master!$P$14)^(I85/365)-1)</f>
        <v>34302.3260761817</v>
      </c>
      <c r="K85" s="1" t="str">
        <f aca="false">IF(ABS(D85+E85-F85-H85)&lt;=01_Lease_Master!$AI$14,"PASS","CHECK")</f>
        <v>PASS</v>
      </c>
    </row>
    <row r="86" customFormat="false" ht="15" hidden="false" customHeight="true" outlineLevel="0" collapsed="false">
      <c r="A86" s="1" t="s">
        <v>101</v>
      </c>
      <c r="B86" s="1" t="n">
        <v>10</v>
      </c>
      <c r="C86" s="7" t="n">
        <v>46082</v>
      </c>
      <c r="D86" s="6" t="n">
        <f aca="false">H85</f>
        <v>3962253.98918989</v>
      </c>
      <c r="E86" s="6" t="n">
        <f aca="false">D86*((1+01_Lease_Master!$P$14)^(I86/365)-1)</f>
        <v>30464.8839986851</v>
      </c>
      <c r="F86" s="6" t="n">
        <f aca="false">SUMIFS(02_Payment_Schedule!E:E,02_Payment_Schedule!A:A,A86,02_Payment_Schedule!D:D,C86)</f>
        <v>100000</v>
      </c>
      <c r="G86" s="6" t="n">
        <f aca="false">F86-E86</f>
        <v>69535.1160013149</v>
      </c>
      <c r="H86" s="6" t="n">
        <f aca="false">MAX(0,D86+E86-F86)</f>
        <v>3892718.87318858</v>
      </c>
      <c r="I86" s="1" t="n">
        <f aca="false">C86-C85</f>
        <v>28</v>
      </c>
      <c r="J86" s="6" t="n">
        <f aca="false">D86*((1+01_Lease_Master!$P$14)^(I86/365)-1)</f>
        <v>30464.8839986851</v>
      </c>
      <c r="K86" s="1" t="str">
        <f aca="false">IF(ABS(D86+E86-F86-H86)&lt;=01_Lease_Master!$AI$14,"PASS","CHECK")</f>
        <v>PASS</v>
      </c>
    </row>
    <row r="87" customFormat="false" ht="15" hidden="false" customHeight="true" outlineLevel="0" collapsed="false">
      <c r="A87" s="1" t="s">
        <v>101</v>
      </c>
      <c r="B87" s="1" t="n">
        <v>11</v>
      </c>
      <c r="C87" s="7" t="n">
        <v>46113</v>
      </c>
      <c r="D87" s="6" t="n">
        <f aca="false">H86</f>
        <v>3892718.87318858</v>
      </c>
      <c r="E87" s="6" t="n">
        <f aca="false">D87*((1+01_Lease_Master!$P$14)^(I87/365)-1)</f>
        <v>33150.6739104708</v>
      </c>
      <c r="F87" s="6" t="n">
        <f aca="false">SUMIFS(02_Payment_Schedule!E:E,02_Payment_Schedule!A:A,A87,02_Payment_Schedule!D:D,C87)</f>
        <v>100000</v>
      </c>
      <c r="G87" s="6" t="n">
        <f aca="false">F87-E87</f>
        <v>66849.3260895292</v>
      </c>
      <c r="H87" s="6" t="n">
        <f aca="false">MAX(0,D87+E87-F87)</f>
        <v>3825869.54709905</v>
      </c>
      <c r="I87" s="1" t="n">
        <f aca="false">C87-C86</f>
        <v>31</v>
      </c>
      <c r="J87" s="6" t="n">
        <f aca="false">D87*((1+01_Lease_Master!$P$14)^(I87/365)-1)</f>
        <v>33150.6739104708</v>
      </c>
      <c r="K87" s="1" t="str">
        <f aca="false">IF(ABS(D87+E87-F87-H87)&lt;=01_Lease_Master!$AI$14,"PASS","CHECK")</f>
        <v>PASS</v>
      </c>
    </row>
    <row r="88" customFormat="false" ht="15" hidden="false" customHeight="true" outlineLevel="0" collapsed="false">
      <c r="A88" s="1" t="s">
        <v>101</v>
      </c>
      <c r="B88" s="1" t="n">
        <v>12</v>
      </c>
      <c r="C88" s="7" t="n">
        <v>46143</v>
      </c>
      <c r="D88" s="6" t="n">
        <f aca="false">H87</f>
        <v>3825869.54709905</v>
      </c>
      <c r="E88" s="6" t="n">
        <f aca="false">D88*((1+01_Lease_Master!$P$14)^(I88/365)-1)</f>
        <v>31526.0497262743</v>
      </c>
      <c r="F88" s="6" t="n">
        <f aca="false">SUMIFS(02_Payment_Schedule!E:E,02_Payment_Schedule!A:A,A88,02_Payment_Schedule!D:D,C88)</f>
        <v>100000</v>
      </c>
      <c r="G88" s="6" t="n">
        <f aca="false">F88-E88</f>
        <v>68473.9502737257</v>
      </c>
      <c r="H88" s="6" t="n">
        <f aca="false">MAX(0,D88+E88-F88)</f>
        <v>3757395.59682532</v>
      </c>
      <c r="I88" s="1" t="n">
        <f aca="false">C88-C87</f>
        <v>30</v>
      </c>
      <c r="J88" s="6" t="n">
        <f aca="false">D88*((1+01_Lease_Master!$P$14)^(I88/365)-1)</f>
        <v>31526.0497262743</v>
      </c>
      <c r="K88" s="1" t="str">
        <f aca="false">IF(ABS(D88+E88-F88-H88)&lt;=01_Lease_Master!$AI$14,"PASS","CHECK")</f>
        <v>PASS</v>
      </c>
    </row>
    <row r="89" customFormat="false" ht="15" hidden="false" customHeight="true" outlineLevel="0" collapsed="false">
      <c r="A89" s="1" t="s">
        <v>101</v>
      </c>
      <c r="B89" s="1" t="n">
        <v>13</v>
      </c>
      <c r="C89" s="7" t="n">
        <v>46174</v>
      </c>
      <c r="D89" s="6" t="n">
        <f aca="false">H88</f>
        <v>3757395.59682532</v>
      </c>
      <c r="E89" s="6" t="n">
        <f aca="false">D89*((1+01_Lease_Master!$P$14)^(I89/365)-1)</f>
        <v>31998.2511557446</v>
      </c>
      <c r="F89" s="6" t="n">
        <f aca="false">SUMIFS(02_Payment_Schedule!E:E,02_Payment_Schedule!A:A,A89,02_Payment_Schedule!D:D,C89)</f>
        <v>115000</v>
      </c>
      <c r="G89" s="6" t="n">
        <f aca="false">F89-E89</f>
        <v>83001.7488442554</v>
      </c>
      <c r="H89" s="6" t="n">
        <f aca="false">MAX(0,D89+E89-F89)</f>
        <v>3674393.84798107</v>
      </c>
      <c r="I89" s="1" t="n">
        <f aca="false">C89-C88</f>
        <v>31</v>
      </c>
      <c r="J89" s="6" t="n">
        <f aca="false">D89*((1+01_Lease_Master!$P$14)^(I89/365)-1)</f>
        <v>31998.2511557446</v>
      </c>
      <c r="K89" s="1" t="str">
        <f aca="false">IF(ABS(D89+E89-F89-H89)&lt;=01_Lease_Master!$AI$14,"PASS","CHECK")</f>
        <v>PASS</v>
      </c>
    </row>
    <row r="90" customFormat="false" ht="15" hidden="false" customHeight="true" outlineLevel="0" collapsed="false">
      <c r="A90" s="1" t="s">
        <v>101</v>
      </c>
      <c r="B90" s="1" t="n">
        <v>14</v>
      </c>
      <c r="C90" s="7" t="n">
        <v>46204</v>
      </c>
      <c r="D90" s="6" t="n">
        <f aca="false">H89</f>
        <v>3674393.84798107</v>
      </c>
      <c r="E90" s="6" t="n">
        <f aca="false">D90*((1+01_Lease_Master!$P$14)^(I90/365)-1)</f>
        <v>30277.8549397227</v>
      </c>
      <c r="F90" s="6" t="n">
        <f aca="false">SUMIFS(02_Payment_Schedule!E:E,02_Payment_Schedule!A:A,A90,02_Payment_Schedule!D:D,C90)</f>
        <v>115000</v>
      </c>
      <c r="G90" s="6" t="n">
        <f aca="false">F90-E90</f>
        <v>84722.1450602773</v>
      </c>
      <c r="H90" s="6" t="n">
        <f aca="false">MAX(0,D90+E90-F90)</f>
        <v>3589671.70292079</v>
      </c>
      <c r="I90" s="1" t="n">
        <f aca="false">C90-C89</f>
        <v>30</v>
      </c>
      <c r="J90" s="6" t="n">
        <f aca="false">D90*((1+01_Lease_Master!$P$14)^(I90/365)-1)</f>
        <v>30277.8549397227</v>
      </c>
      <c r="K90" s="1" t="str">
        <f aca="false">IF(ABS(D90+E90-F90-H90)&lt;=01_Lease_Master!$AI$14,"PASS","CHECK")</f>
        <v>PASS</v>
      </c>
    </row>
    <row r="91" customFormat="false" ht="15" hidden="false" customHeight="true" outlineLevel="0" collapsed="false">
      <c r="A91" s="1" t="s">
        <v>101</v>
      </c>
      <c r="B91" s="1" t="n">
        <v>15</v>
      </c>
      <c r="C91" s="7" t="n">
        <v>46235</v>
      </c>
      <c r="D91" s="6" t="n">
        <f aca="false">H90</f>
        <v>3589671.70292079</v>
      </c>
      <c r="E91" s="6" t="n">
        <f aca="false">D91*((1+01_Lease_Master!$P$14)^(I91/365)-1)</f>
        <v>30569.9024116008</v>
      </c>
      <c r="F91" s="6" t="n">
        <f aca="false">SUMIFS(02_Payment_Schedule!E:E,02_Payment_Schedule!A:A,A91,02_Payment_Schedule!D:D,C91)</f>
        <v>115000</v>
      </c>
      <c r="G91" s="6" t="n">
        <f aca="false">F91-E91</f>
        <v>84430.0975883992</v>
      </c>
      <c r="H91" s="6" t="n">
        <f aca="false">MAX(0,D91+E91-F91)</f>
        <v>3505241.60533239</v>
      </c>
      <c r="I91" s="1" t="n">
        <f aca="false">C91-C90</f>
        <v>31</v>
      </c>
      <c r="J91" s="6" t="n">
        <f aca="false">D91*((1+01_Lease_Master!$P$14)^(I91/365)-1)</f>
        <v>30569.9024116008</v>
      </c>
      <c r="K91" s="1" t="str">
        <f aca="false">IF(ABS(D91+E91-F91-H91)&lt;=01_Lease_Master!$AI$14,"PASS","CHECK")</f>
        <v>PASS</v>
      </c>
    </row>
    <row r="92" customFormat="false" ht="15" hidden="false" customHeight="true" outlineLevel="0" collapsed="false">
      <c r="A92" s="1" t="s">
        <v>101</v>
      </c>
      <c r="B92" s="1" t="n">
        <v>16</v>
      </c>
      <c r="C92" s="7" t="n">
        <v>46266</v>
      </c>
      <c r="D92" s="6" t="n">
        <f aca="false">H91</f>
        <v>3505241.60533239</v>
      </c>
      <c r="E92" s="6" t="n">
        <f aca="false">D92*((1+01_Lease_Master!$P$14)^(I92/365)-1)</f>
        <v>29850.889627847</v>
      </c>
      <c r="F92" s="6" t="n">
        <f aca="false">SUMIFS(02_Payment_Schedule!E:E,02_Payment_Schedule!A:A,A92,02_Payment_Schedule!D:D,C92)</f>
        <v>115000</v>
      </c>
      <c r="G92" s="6" t="n">
        <f aca="false">F92-E92</f>
        <v>85149.110372153</v>
      </c>
      <c r="H92" s="6" t="n">
        <f aca="false">MAX(0,D92+E92-F92)</f>
        <v>3420092.49496024</v>
      </c>
      <c r="I92" s="1" t="n">
        <f aca="false">C92-C91</f>
        <v>31</v>
      </c>
      <c r="J92" s="6" t="n">
        <f aca="false">D92*((1+01_Lease_Master!$P$14)^(I92/365)-1)</f>
        <v>29850.889627847</v>
      </c>
      <c r="K92" s="1" t="str">
        <f aca="false">IF(ABS(D92+E92-F92-H92)&lt;=01_Lease_Master!$AI$14,"PASS","CHECK")</f>
        <v>PASS</v>
      </c>
    </row>
    <row r="93" customFormat="false" ht="15" hidden="false" customHeight="true" outlineLevel="0" collapsed="false">
      <c r="A93" s="1" t="s">
        <v>101</v>
      </c>
      <c r="B93" s="1" t="s">
        <v>145</v>
      </c>
      <c r="C93" s="7" t="n">
        <v>46271</v>
      </c>
      <c r="D93" s="6" t="n">
        <f aca="false">IF($B$3&lt;01_Lease_Master!$D$14,0,IFERROR(LOOKUP(2,1/(A$6:A92=A93),H$6:H92),03_Initial_Recognition!$B$14))</f>
        <v>3420092.49496024</v>
      </c>
      <c r="E93" s="6" t="n">
        <f aca="false">IF($B$3&lt;01_Lease_Master!$D$14,0,D93*((1+01_Lease_Master!$P$14)^(I93/365)-1))</f>
        <v>4681.01254998175</v>
      </c>
      <c r="F93" s="6" t="n">
        <v>0</v>
      </c>
      <c r="G93" s="6" t="n">
        <v>0</v>
      </c>
      <c r="H93" s="6" t="n">
        <f aca="false">MAX(0,D93+E93)</f>
        <v>3424773.50751022</v>
      </c>
      <c r="I93" s="9" t="n">
        <f aca="false">IF($B$3&lt;01_Lease_Master!$D$14,0,C93-IFERROR(LOOKUP(2,1/(A$6:A92=A93),C$6:C92),01_Lease_Master!$D$14))</f>
        <v>5</v>
      </c>
      <c r="J93" s="6" t="n">
        <f aca="false">E93</f>
        <v>4681.01254998175</v>
      </c>
      <c r="K93" s="1" t="str">
        <f aca="false">IF(ABS(H93-SUMIFS(22_Independent_Validation!$E:$E,22_Independent_Validation!$A:$A,A93))&lt;=01_Lease_Master!$AI$14,"PASS","CHECK")</f>
        <v>PASS</v>
      </c>
    </row>
    <row r="94" customFormat="false" ht="15" hidden="false" customHeight="true" outlineLevel="0" collapsed="false">
      <c r="A94" s="1" t="s">
        <v>104</v>
      </c>
      <c r="B94" s="1" t="n">
        <v>1</v>
      </c>
      <c r="C94" s="7" t="n">
        <v>45383</v>
      </c>
      <c r="D94" s="6" t="n">
        <f aca="false">03_Initial_Recognition!$B$15</f>
        <v>8629894.79536913</v>
      </c>
      <c r="E94" s="6" t="n">
        <f aca="false">0</f>
        <v>0</v>
      </c>
      <c r="F94" s="6" t="n">
        <f aca="false">0</f>
        <v>0</v>
      </c>
      <c r="G94" s="6" t="n">
        <f aca="false">0</f>
        <v>0</v>
      </c>
      <c r="H94" s="6" t="n">
        <f aca="false">D94</f>
        <v>8629894.79536913</v>
      </c>
      <c r="I94" s="1" t="n">
        <f aca="false">C94-01_Lease_Master!$D$15</f>
        <v>0</v>
      </c>
      <c r="J94" s="6" t="n">
        <f aca="false">0</f>
        <v>0</v>
      </c>
      <c r="K94" s="1" t="str">
        <f aca="false">IF(ABS(D94+E94-F94-H94)&lt;=01_Lease_Master!$AI$15,"PASS","CHECK")</f>
        <v>PASS</v>
      </c>
    </row>
    <row r="95" customFormat="false" ht="15" hidden="false" customHeight="true" outlineLevel="0" collapsed="false">
      <c r="A95" s="1" t="s">
        <v>104</v>
      </c>
      <c r="B95" s="1" t="n">
        <v>2</v>
      </c>
      <c r="C95" s="7" t="n">
        <v>45383</v>
      </c>
      <c r="D95" s="6" t="n">
        <f aca="false">H94</f>
        <v>8629894.79536913</v>
      </c>
      <c r="E95" s="6" t="n">
        <f aca="false">D95*((1+01_Lease_Master!$P$15)^(I95/365)-1)</f>
        <v>0</v>
      </c>
      <c r="F95" s="6" t="n">
        <f aca="false">SUMIFS(02_Payment_Schedule!E:E,02_Payment_Schedule!A:A,A95,02_Payment_Schedule!D:D,C95)</f>
        <v>500000</v>
      </c>
      <c r="G95" s="6" t="n">
        <f aca="false">F95-E95</f>
        <v>500000</v>
      </c>
      <c r="H95" s="6" t="n">
        <f aca="false">MAX(0,D95+E95-F95)</f>
        <v>8129894.79536913</v>
      </c>
      <c r="I95" s="1" t="n">
        <f aca="false">C95-C94</f>
        <v>0</v>
      </c>
      <c r="J95" s="6" t="n">
        <f aca="false">D95*((1+01_Lease_Master!$P$15)^(I95/365)-1)</f>
        <v>0</v>
      </c>
      <c r="K95" s="1" t="str">
        <f aca="false">IF(ABS(D95+E95-F95-H95)&lt;=01_Lease_Master!$AI$15,"PASS","CHECK")</f>
        <v>PASS</v>
      </c>
    </row>
    <row r="96" customFormat="false" ht="15" hidden="false" customHeight="true" outlineLevel="0" collapsed="false">
      <c r="A96" s="1" t="s">
        <v>104</v>
      </c>
      <c r="B96" s="1" t="n">
        <v>3</v>
      </c>
      <c r="C96" s="7" t="n">
        <v>45474</v>
      </c>
      <c r="D96" s="6" t="n">
        <f aca="false">H95</f>
        <v>8129894.79536913</v>
      </c>
      <c r="E96" s="6" t="n">
        <f aca="false">D96*((1+01_Lease_Master!$P$15)^(I96/365)-1)</f>
        <v>181309.754476672</v>
      </c>
      <c r="F96" s="6" t="n">
        <f aca="false">SUMIFS(02_Payment_Schedule!E:E,02_Payment_Schedule!A:A,A96,02_Payment_Schedule!D:D,C96)</f>
        <v>500000</v>
      </c>
      <c r="G96" s="6" t="n">
        <f aca="false">F96-E96</f>
        <v>318690.245523328</v>
      </c>
      <c r="H96" s="6" t="n">
        <f aca="false">MAX(0,D96+E96-F96)</f>
        <v>7811204.5498458</v>
      </c>
      <c r="I96" s="1" t="n">
        <f aca="false">C96-C95</f>
        <v>91</v>
      </c>
      <c r="J96" s="6" t="n">
        <f aca="false">D96*((1+01_Lease_Master!$P$15)^(I96/365)-1)</f>
        <v>181309.754476672</v>
      </c>
      <c r="K96" s="1" t="str">
        <f aca="false">IF(ABS(D96+E96-F96-H96)&lt;=01_Lease_Master!$AI$15,"PASS","CHECK")</f>
        <v>PASS</v>
      </c>
    </row>
    <row r="97" customFormat="false" ht="15" hidden="false" customHeight="true" outlineLevel="0" collapsed="false">
      <c r="A97" s="1" t="s">
        <v>104</v>
      </c>
      <c r="B97" s="1" t="n">
        <v>4</v>
      </c>
      <c r="C97" s="7" t="n">
        <v>45566</v>
      </c>
      <c r="D97" s="6" t="n">
        <f aca="false">H96</f>
        <v>7811204.5498458</v>
      </c>
      <c r="E97" s="6" t="n">
        <f aca="false">D97*((1+01_Lease_Master!$P$15)^(I97/365)-1)</f>
        <v>176138.184855574</v>
      </c>
      <c r="F97" s="6" t="n">
        <f aca="false">SUMIFS(02_Payment_Schedule!E:E,02_Payment_Schedule!A:A,A97,02_Payment_Schedule!D:D,C97)</f>
        <v>500000</v>
      </c>
      <c r="G97" s="6" t="n">
        <f aca="false">F97-E97</f>
        <v>323861.815144426</v>
      </c>
      <c r="H97" s="6" t="n">
        <f aca="false">MAX(0,D97+E97-F97)</f>
        <v>7487342.73470138</v>
      </c>
      <c r="I97" s="1" t="n">
        <f aca="false">C97-C96</f>
        <v>92</v>
      </c>
      <c r="J97" s="6" t="n">
        <f aca="false">D97*((1+01_Lease_Master!$P$15)^(I97/365)-1)</f>
        <v>176138.184855574</v>
      </c>
      <c r="K97" s="1" t="str">
        <f aca="false">IF(ABS(D97+E97-F97-H97)&lt;=01_Lease_Master!$AI$15,"PASS","CHECK")</f>
        <v>PASS</v>
      </c>
    </row>
    <row r="98" customFormat="false" ht="15" hidden="false" customHeight="true" outlineLevel="0" collapsed="false">
      <c r="A98" s="1" t="s">
        <v>104</v>
      </c>
      <c r="B98" s="1" t="n">
        <v>5</v>
      </c>
      <c r="C98" s="7" t="n">
        <v>45658</v>
      </c>
      <c r="D98" s="6" t="n">
        <f aca="false">H97</f>
        <v>7487342.73470138</v>
      </c>
      <c r="E98" s="6" t="n">
        <f aca="false">D98*((1+01_Lease_Master!$P$15)^(I98/365)-1)</f>
        <v>168835.286576627</v>
      </c>
      <c r="F98" s="6" t="n">
        <f aca="false">SUMIFS(02_Payment_Schedule!E:E,02_Payment_Schedule!A:A,A98,02_Payment_Schedule!D:D,C98)</f>
        <v>500000</v>
      </c>
      <c r="G98" s="6" t="n">
        <f aca="false">F98-E98</f>
        <v>331164.713423373</v>
      </c>
      <c r="H98" s="6" t="n">
        <f aca="false">MAX(0,D98+E98-F98)</f>
        <v>7156178.02127801</v>
      </c>
      <c r="I98" s="1" t="n">
        <f aca="false">C98-C97</f>
        <v>92</v>
      </c>
      <c r="J98" s="6" t="n">
        <f aca="false">D98*((1+01_Lease_Master!$P$15)^(I98/365)-1)</f>
        <v>168835.286576627</v>
      </c>
      <c r="K98" s="1" t="str">
        <f aca="false">IF(ABS(D98+E98-F98-H98)&lt;=01_Lease_Master!$AI$15,"PASS","CHECK")</f>
        <v>PASS</v>
      </c>
    </row>
    <row r="99" customFormat="false" ht="15" hidden="false" customHeight="true" outlineLevel="0" collapsed="false">
      <c r="A99" s="1" t="s">
        <v>104</v>
      </c>
      <c r="B99" s="1" t="n">
        <v>6</v>
      </c>
      <c r="C99" s="7" t="n">
        <v>45748</v>
      </c>
      <c r="D99" s="6" t="n">
        <f aca="false">H98</f>
        <v>7156178.02127801</v>
      </c>
      <c r="E99" s="6" t="n">
        <f aca="false">D99*((1+01_Lease_Master!$P$15)^(I99/365)-1)</f>
        <v>157821.320386992</v>
      </c>
      <c r="F99" s="6" t="n">
        <f aca="false">SUMIFS(02_Payment_Schedule!E:E,02_Payment_Schedule!A:A,A99,02_Payment_Schedule!D:D,C99)</f>
        <v>515000</v>
      </c>
      <c r="G99" s="6" t="n">
        <f aca="false">F99-E99</f>
        <v>357178.679613008</v>
      </c>
      <c r="H99" s="6" t="n">
        <f aca="false">MAX(0,D99+E99-F99)</f>
        <v>6798999.341665</v>
      </c>
      <c r="I99" s="1" t="n">
        <f aca="false">C99-C98</f>
        <v>90</v>
      </c>
      <c r="J99" s="6" t="n">
        <f aca="false">D99*((1+01_Lease_Master!$P$15)^(I99/365)-1)</f>
        <v>157821.320386992</v>
      </c>
      <c r="K99" s="1" t="str">
        <f aca="false">IF(ABS(D99+E99-F99-H99)&lt;=01_Lease_Master!$AI$15,"PASS","CHECK")</f>
        <v>PASS</v>
      </c>
    </row>
    <row r="100" customFormat="false" ht="15" hidden="false" customHeight="true" outlineLevel="0" collapsed="false">
      <c r="A100" s="1" t="s">
        <v>104</v>
      </c>
      <c r="B100" s="1" t="n">
        <v>7</v>
      </c>
      <c r="C100" s="7" t="n">
        <v>45839</v>
      </c>
      <c r="D100" s="6" t="n">
        <f aca="false">H99</f>
        <v>6798999.341665</v>
      </c>
      <c r="E100" s="6" t="n">
        <f aca="false">D100*((1+01_Lease_Master!$P$15)^(I100/365)-1)</f>
        <v>151628.641249639</v>
      </c>
      <c r="F100" s="6" t="n">
        <f aca="false">SUMIFS(02_Payment_Schedule!E:E,02_Payment_Schedule!A:A,A100,02_Payment_Schedule!D:D,C100)</f>
        <v>515000</v>
      </c>
      <c r="G100" s="6" t="n">
        <f aca="false">F100-E100</f>
        <v>363371.358750361</v>
      </c>
      <c r="H100" s="6" t="n">
        <f aca="false">MAX(0,D100+E100-F100)</f>
        <v>6435627.98291464</v>
      </c>
      <c r="I100" s="1" t="n">
        <f aca="false">C100-C99</f>
        <v>91</v>
      </c>
      <c r="J100" s="6" t="n">
        <f aca="false">D100*((1+01_Lease_Master!$P$15)^(I100/365)-1)</f>
        <v>151628.641249639</v>
      </c>
      <c r="K100" s="1" t="str">
        <f aca="false">IF(ABS(D100+E100-F100-H100)&lt;=01_Lease_Master!$AI$15,"PASS","CHECK")</f>
        <v>PASS</v>
      </c>
    </row>
    <row r="101" customFormat="false" ht="15" hidden="false" customHeight="true" outlineLevel="0" collapsed="false">
      <c r="A101" s="1" t="s">
        <v>104</v>
      </c>
      <c r="B101" s="1" t="n">
        <v>8</v>
      </c>
      <c r="C101" s="7" t="n">
        <v>45931</v>
      </c>
      <c r="D101" s="6" t="n">
        <f aca="false">H100</f>
        <v>6435627.98291464</v>
      </c>
      <c r="E101" s="6" t="n">
        <f aca="false">D101*((1+01_Lease_Master!$P$15)^(I101/365)-1)</f>
        <v>145119.721815338</v>
      </c>
      <c r="F101" s="6" t="n">
        <f aca="false">SUMIFS(02_Payment_Schedule!E:E,02_Payment_Schedule!A:A,A101,02_Payment_Schedule!D:D,C101)</f>
        <v>515000</v>
      </c>
      <c r="G101" s="6" t="n">
        <f aca="false">F101-E101</f>
        <v>369880.278184662</v>
      </c>
      <c r="H101" s="6" t="n">
        <f aca="false">MAX(0,D101+E101-F101)</f>
        <v>6065747.70472997</v>
      </c>
      <c r="I101" s="1" t="n">
        <f aca="false">C101-C100</f>
        <v>92</v>
      </c>
      <c r="J101" s="6" t="n">
        <f aca="false">D101*((1+01_Lease_Master!$P$15)^(I101/365)-1)</f>
        <v>145119.721815338</v>
      </c>
      <c r="K101" s="1" t="str">
        <f aca="false">IF(ABS(D101+E101-F101-H101)&lt;=01_Lease_Master!$AI$15,"PASS","CHECK")</f>
        <v>PASS</v>
      </c>
    </row>
    <row r="102" customFormat="false" ht="15" hidden="false" customHeight="true" outlineLevel="0" collapsed="false">
      <c r="A102" s="1" t="s">
        <v>104</v>
      </c>
      <c r="B102" s="1" t="n">
        <v>9</v>
      </c>
      <c r="C102" s="7" t="n">
        <v>46023</v>
      </c>
      <c r="D102" s="6" t="n">
        <f aca="false">H101</f>
        <v>6065747.70472997</v>
      </c>
      <c r="E102" s="6" t="n">
        <f aca="false">D102*((1+01_Lease_Master!$P$15)^(I102/365)-1)</f>
        <v>136779.133574743</v>
      </c>
      <c r="F102" s="6" t="n">
        <f aca="false">SUMIFS(02_Payment_Schedule!E:E,02_Payment_Schedule!A:A,A102,02_Payment_Schedule!D:D,C102)</f>
        <v>515000</v>
      </c>
      <c r="G102" s="6" t="n">
        <f aca="false">F102-E102</f>
        <v>378220.866425257</v>
      </c>
      <c r="H102" s="6" t="n">
        <f aca="false">MAX(0,D102+E102-F102)</f>
        <v>5687526.83830472</v>
      </c>
      <c r="I102" s="1" t="n">
        <f aca="false">C102-C101</f>
        <v>92</v>
      </c>
      <c r="J102" s="6" t="n">
        <f aca="false">D102*((1+01_Lease_Master!$P$15)^(I102/365)-1)</f>
        <v>136779.133574743</v>
      </c>
      <c r="K102" s="1" t="str">
        <f aca="false">IF(ABS(D102+E102-F102-H102)&lt;=01_Lease_Master!$AI$15,"PASS","CHECK")</f>
        <v>PASS</v>
      </c>
    </row>
    <row r="103" customFormat="false" ht="15" hidden="false" customHeight="true" outlineLevel="0" collapsed="false">
      <c r="A103" s="1" t="s">
        <v>104</v>
      </c>
      <c r="B103" s="1" t="n">
        <v>10</v>
      </c>
      <c r="C103" s="7" t="n">
        <v>46113</v>
      </c>
      <c r="D103" s="6" t="n">
        <f aca="false">H102</f>
        <v>5687526.83830472</v>
      </c>
      <c r="E103" s="6" t="n">
        <f aca="false">D103*((1+01_Lease_Master!$P$15)^(I103/365)-1)</f>
        <v>125431.898520239</v>
      </c>
      <c r="F103" s="6" t="n">
        <f aca="false">SUMIFS(02_Payment_Schedule!E:E,02_Payment_Schedule!A:A,A103,02_Payment_Schedule!D:D,C103)</f>
        <v>530450</v>
      </c>
      <c r="G103" s="6" t="n">
        <f aca="false">F103-E103</f>
        <v>405018.101479761</v>
      </c>
      <c r="H103" s="6" t="n">
        <f aca="false">MAX(0,D103+E103-F103)</f>
        <v>5282508.73682496</v>
      </c>
      <c r="I103" s="1" t="n">
        <f aca="false">C103-C102</f>
        <v>90</v>
      </c>
      <c r="J103" s="6" t="n">
        <f aca="false">D103*((1+01_Lease_Master!$P$15)^(I103/365)-1)</f>
        <v>125431.898520239</v>
      </c>
      <c r="K103" s="1" t="str">
        <f aca="false">IF(ABS(D103+E103-F103-H103)&lt;=01_Lease_Master!$AI$15,"PASS","CHECK")</f>
        <v>PASS</v>
      </c>
    </row>
    <row r="104" customFormat="false" ht="15" hidden="false" customHeight="true" outlineLevel="0" collapsed="false">
      <c r="A104" s="1" t="s">
        <v>104</v>
      </c>
      <c r="B104" s="1" t="n">
        <v>11</v>
      </c>
      <c r="C104" s="7" t="n">
        <v>46204</v>
      </c>
      <c r="D104" s="6" t="n">
        <f aca="false">H103</f>
        <v>5282508.73682496</v>
      </c>
      <c r="E104" s="6" t="n">
        <f aca="false">D104*((1+01_Lease_Master!$P$15)^(I104/365)-1)</f>
        <v>117808.457083622</v>
      </c>
      <c r="F104" s="6" t="n">
        <f aca="false">SUMIFS(02_Payment_Schedule!E:E,02_Payment_Schedule!A:A,A104,02_Payment_Schedule!D:D,C104)</f>
        <v>530450</v>
      </c>
      <c r="G104" s="6" t="n">
        <f aca="false">F104-E104</f>
        <v>412641.542916378</v>
      </c>
      <c r="H104" s="6" t="n">
        <f aca="false">MAX(0,D104+E104-F104)</f>
        <v>4869867.19390858</v>
      </c>
      <c r="I104" s="1" t="n">
        <f aca="false">C104-C103</f>
        <v>91</v>
      </c>
      <c r="J104" s="6" t="n">
        <f aca="false">D104*((1+01_Lease_Master!$P$15)^(I104/365)-1)</f>
        <v>117808.457083622</v>
      </c>
      <c r="K104" s="1" t="str">
        <f aca="false">IF(ABS(D104+E104-F104-H104)&lt;=01_Lease_Master!$AI$15,"PASS","CHECK")</f>
        <v>PASS</v>
      </c>
    </row>
    <row r="105" customFormat="false" ht="15" hidden="false" customHeight="true" outlineLevel="0" collapsed="false">
      <c r="A105" s="1" t="s">
        <v>104</v>
      </c>
      <c r="B105" s="1" t="s">
        <v>145</v>
      </c>
      <c r="C105" s="7" t="n">
        <v>46271</v>
      </c>
      <c r="D105" s="6" t="n">
        <f aca="false">IF($B$3&lt;01_Lease_Master!$D$15,0,IFERROR(LOOKUP(2,1/(A$6:A104=A105),H$6:H104),03_Initial_Recognition!$B$15))</f>
        <v>4869867.19390858</v>
      </c>
      <c r="E105" s="6" t="n">
        <f aca="false">IF($B$3&lt;01_Lease_Master!$D$15,0,D105*((1+01_Lease_Master!$P$15)^(I105/365)-1))</f>
        <v>79729.5972464457</v>
      </c>
      <c r="F105" s="6" t="n">
        <v>0</v>
      </c>
      <c r="G105" s="6" t="n">
        <v>0</v>
      </c>
      <c r="H105" s="6" t="n">
        <f aca="false">MAX(0,D105+E105)</f>
        <v>4949596.79115502</v>
      </c>
      <c r="I105" s="9" t="n">
        <f aca="false">IF($B$3&lt;01_Lease_Master!$D$15,0,C105-IFERROR(LOOKUP(2,1/(A$6:A104=A105),C$6:C104),01_Lease_Master!$D$15))</f>
        <v>67</v>
      </c>
      <c r="J105" s="6" t="n">
        <f aca="false">E105</f>
        <v>79729.5972464457</v>
      </c>
      <c r="K105" s="1" t="str">
        <f aca="false">IF(ABS(H105-SUMIFS(22_Independent_Validation!$E:$E,22_Independent_Validation!$A:$A,A105))&lt;=01_Lease_Master!$AI$15,"PASS","CHECK")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33"/>
    <col collapsed="false" customWidth="true" hidden="false" outlineLevel="0" max="10" min="6" style="1" width="45"/>
  </cols>
  <sheetData>
    <row r="1" customFormat="false" ht="17.25" hidden="false" customHeight="true" outlineLevel="0" collapsed="false">
      <c r="A1" s="2" t="s">
        <v>146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115</v>
      </c>
      <c r="C5" s="4" t="s">
        <v>116</v>
      </c>
      <c r="D5" s="4" t="s">
        <v>147</v>
      </c>
      <c r="E5" s="4" t="s">
        <v>148</v>
      </c>
      <c r="F5" s="4" t="s">
        <v>149</v>
      </c>
      <c r="G5" s="4" t="s">
        <v>150</v>
      </c>
      <c r="H5" s="4" t="s">
        <v>151</v>
      </c>
      <c r="I5" s="4" t="s">
        <v>152</v>
      </c>
      <c r="J5" s="4" t="s">
        <v>144</v>
      </c>
    </row>
    <row r="6" customFormat="false" ht="15" hidden="false" customHeight="true" outlineLevel="0" collapsed="false">
      <c r="A6" s="1" t="s">
        <v>65</v>
      </c>
      <c r="B6" s="1" t="n">
        <v>0</v>
      </c>
      <c r="C6" s="1" t="n">
        <v>1</v>
      </c>
      <c r="D6" s="7" t="n">
        <v>44652</v>
      </c>
      <c r="E6" s="6" t="n">
        <f aca="false">03_Initial_Recognition!$I$6</f>
        <v>6245027.99565976</v>
      </c>
      <c r="F6" s="6" t="n">
        <f aca="false">MIN(E6,ROUND(03_Initial_Recognition!$I$6/H6,2))</f>
        <v>104083.8</v>
      </c>
      <c r="G6" s="6" t="n">
        <f aca="false">MAX(0,E6-F6)</f>
        <v>6140944.19565976</v>
      </c>
      <c r="H6" s="1" t="n">
        <f aca="false">DATEDIF(01_Lease_Master!$D$6,01_Lease_Master!$AJ$6,"m")+IF(DAY(01_Lease_Master!$AJ$6)&gt;=DAY(01_Lease_Master!$D$6),1,0)</f>
        <v>60</v>
      </c>
      <c r="I6" s="1" t="s">
        <v>153</v>
      </c>
      <c r="J6" s="1" t="str">
        <f aca="false">IF(ABS(G6-6140944.2)&lt;=0.01,"PASS","CHECK")</f>
        <v>PASS</v>
      </c>
    </row>
    <row r="7" customFormat="false" ht="15" hidden="false" customHeight="true" outlineLevel="0" collapsed="false">
      <c r="A7" s="1" t="s">
        <v>65</v>
      </c>
      <c r="B7" s="1" t="n">
        <v>0</v>
      </c>
      <c r="C7" s="1" t="n">
        <v>2</v>
      </c>
      <c r="D7" s="7" t="n">
        <v>44682</v>
      </c>
      <c r="E7" s="6" t="n">
        <f aca="false">G6</f>
        <v>6140944.19565976</v>
      </c>
      <c r="F7" s="6" t="n">
        <f aca="false">MIN(E7,ROUND(03_Initial_Recognition!$I$6/H7,2))</f>
        <v>104083.8</v>
      </c>
      <c r="G7" s="6" t="n">
        <f aca="false">MAX(0,E7-F7)</f>
        <v>6036860.39565976</v>
      </c>
      <c r="H7" s="1" t="n">
        <f aca="false">DATEDIF(01_Lease_Master!$D$6,01_Lease_Master!$AJ$6,"m")+IF(DAY(01_Lease_Master!$AJ$6)&gt;=DAY(01_Lease_Master!$D$6),1,0)</f>
        <v>60</v>
      </c>
      <c r="I7" s="1" t="s">
        <v>153</v>
      </c>
      <c r="J7" s="1" t="str">
        <f aca="false">IF(ABS(G7-6036860.4)&lt;=0.01,"PASS","CHECK")</f>
        <v>PASS</v>
      </c>
    </row>
    <row r="8" customFormat="false" ht="15" hidden="false" customHeight="true" outlineLevel="0" collapsed="false">
      <c r="A8" s="1" t="s">
        <v>65</v>
      </c>
      <c r="B8" s="1" t="n">
        <v>0</v>
      </c>
      <c r="C8" s="1" t="n">
        <v>3</v>
      </c>
      <c r="D8" s="7" t="n">
        <v>44713</v>
      </c>
      <c r="E8" s="6" t="n">
        <f aca="false">G7</f>
        <v>6036860.39565976</v>
      </c>
      <c r="F8" s="6" t="n">
        <f aca="false">MIN(E8,ROUND(03_Initial_Recognition!$I$6/H8,2))</f>
        <v>104083.8</v>
      </c>
      <c r="G8" s="6" t="n">
        <f aca="false">MAX(0,E8-F8)</f>
        <v>5932776.59565976</v>
      </c>
      <c r="H8" s="1" t="n">
        <f aca="false">DATEDIF(01_Lease_Master!$D$6,01_Lease_Master!$AJ$6,"m")+IF(DAY(01_Lease_Master!$AJ$6)&gt;=DAY(01_Lease_Master!$D$6),1,0)</f>
        <v>60</v>
      </c>
      <c r="I8" s="1" t="s">
        <v>153</v>
      </c>
      <c r="J8" s="1" t="str">
        <f aca="false">IF(ABS(G8-5932776.6)&lt;=0.01,"PASS","CHECK")</f>
        <v>PASS</v>
      </c>
    </row>
    <row r="9" customFormat="false" ht="15" hidden="false" customHeight="true" outlineLevel="0" collapsed="false">
      <c r="A9" s="1" t="s">
        <v>65</v>
      </c>
      <c r="B9" s="1" t="n">
        <v>0</v>
      </c>
      <c r="C9" s="1" t="n">
        <v>4</v>
      </c>
      <c r="D9" s="7" t="n">
        <v>44743</v>
      </c>
      <c r="E9" s="6" t="n">
        <f aca="false">G8</f>
        <v>5932776.59565976</v>
      </c>
      <c r="F9" s="6" t="n">
        <f aca="false">MIN(E9,ROUND(03_Initial_Recognition!$I$6/H9,2))</f>
        <v>104083.8</v>
      </c>
      <c r="G9" s="6" t="n">
        <f aca="false">MAX(0,E9-F9)</f>
        <v>5828692.79565976</v>
      </c>
      <c r="H9" s="1" t="n">
        <f aca="false">DATEDIF(01_Lease_Master!$D$6,01_Lease_Master!$AJ$6,"m")+IF(DAY(01_Lease_Master!$AJ$6)&gt;=DAY(01_Lease_Master!$D$6),1,0)</f>
        <v>60</v>
      </c>
      <c r="I9" s="1" t="s">
        <v>153</v>
      </c>
      <c r="J9" s="1" t="str">
        <f aca="false">IF(ABS(G9-5828692.8)&lt;=0.01,"PASS","CHECK")</f>
        <v>PASS</v>
      </c>
    </row>
    <row r="10" customFormat="false" ht="15" hidden="false" customHeight="true" outlineLevel="0" collapsed="false">
      <c r="A10" s="1" t="s">
        <v>65</v>
      </c>
      <c r="B10" s="1" t="n">
        <v>0</v>
      </c>
      <c r="C10" s="1" t="n">
        <v>5</v>
      </c>
      <c r="D10" s="7" t="n">
        <v>44774</v>
      </c>
      <c r="E10" s="6" t="n">
        <f aca="false">G9</f>
        <v>5828692.79565976</v>
      </c>
      <c r="F10" s="6" t="n">
        <f aca="false">MIN(E10,ROUND(03_Initial_Recognition!$I$6/H10,2))</f>
        <v>104083.8</v>
      </c>
      <c r="G10" s="6" t="n">
        <f aca="false">MAX(0,E10-F10)</f>
        <v>5724608.99565976</v>
      </c>
      <c r="H10" s="1" t="n">
        <f aca="false">DATEDIF(01_Lease_Master!$D$6,01_Lease_Master!$AJ$6,"m")+IF(DAY(01_Lease_Master!$AJ$6)&gt;=DAY(01_Lease_Master!$D$6),1,0)</f>
        <v>60</v>
      </c>
      <c r="I10" s="1" t="s">
        <v>153</v>
      </c>
      <c r="J10" s="1" t="str">
        <f aca="false">IF(ABS(G10-5724609)&lt;=0.01,"PASS","CHECK")</f>
        <v>PASS</v>
      </c>
    </row>
    <row r="11" customFormat="false" ht="15" hidden="false" customHeight="true" outlineLevel="0" collapsed="false">
      <c r="A11" s="1" t="s">
        <v>65</v>
      </c>
      <c r="B11" s="1" t="n">
        <v>0</v>
      </c>
      <c r="C11" s="1" t="n">
        <v>6</v>
      </c>
      <c r="D11" s="7" t="n">
        <v>44805</v>
      </c>
      <c r="E11" s="6" t="n">
        <f aca="false">G10</f>
        <v>5724608.99565976</v>
      </c>
      <c r="F11" s="6" t="n">
        <f aca="false">MIN(E11,ROUND(03_Initial_Recognition!$I$6/H11,2))</f>
        <v>104083.8</v>
      </c>
      <c r="G11" s="6" t="n">
        <f aca="false">MAX(0,E11-F11)</f>
        <v>5620525.19565976</v>
      </c>
      <c r="H11" s="1" t="n">
        <f aca="false">DATEDIF(01_Lease_Master!$D$6,01_Lease_Master!$AJ$6,"m")+IF(DAY(01_Lease_Master!$AJ$6)&gt;=DAY(01_Lease_Master!$D$6),1,0)</f>
        <v>60</v>
      </c>
      <c r="I11" s="1" t="s">
        <v>153</v>
      </c>
      <c r="J11" s="1" t="str">
        <f aca="false">IF(ABS(G11-5620525.2)&lt;=0.01,"PASS","CHECK")</f>
        <v>PASS</v>
      </c>
    </row>
    <row r="12" customFormat="false" ht="15" hidden="false" customHeight="true" outlineLevel="0" collapsed="false">
      <c r="A12" s="1" t="s">
        <v>65</v>
      </c>
      <c r="B12" s="1" t="n">
        <v>0</v>
      </c>
      <c r="C12" s="1" t="n">
        <v>7</v>
      </c>
      <c r="D12" s="7" t="n">
        <v>44835</v>
      </c>
      <c r="E12" s="6" t="n">
        <f aca="false">G11</f>
        <v>5620525.19565976</v>
      </c>
      <c r="F12" s="6" t="n">
        <f aca="false">MIN(E12,ROUND(03_Initial_Recognition!$I$6/H12,2))</f>
        <v>104083.8</v>
      </c>
      <c r="G12" s="6" t="n">
        <f aca="false">MAX(0,E12-F12)</f>
        <v>5516441.39565976</v>
      </c>
      <c r="H12" s="1" t="n">
        <f aca="false">DATEDIF(01_Lease_Master!$D$6,01_Lease_Master!$AJ$6,"m")+IF(DAY(01_Lease_Master!$AJ$6)&gt;=DAY(01_Lease_Master!$D$6),1,0)</f>
        <v>60</v>
      </c>
      <c r="I12" s="1" t="s">
        <v>153</v>
      </c>
      <c r="J12" s="1" t="str">
        <f aca="false">IF(ABS(G12-5516441.4)&lt;=0.01,"PASS","CHECK")</f>
        <v>PASS</v>
      </c>
    </row>
    <row r="13" customFormat="false" ht="15" hidden="false" customHeight="true" outlineLevel="0" collapsed="false">
      <c r="A13" s="1" t="s">
        <v>65</v>
      </c>
      <c r="B13" s="1" t="n">
        <v>0</v>
      </c>
      <c r="C13" s="1" t="n">
        <v>8</v>
      </c>
      <c r="D13" s="7" t="n">
        <v>44866</v>
      </c>
      <c r="E13" s="6" t="n">
        <f aca="false">G12</f>
        <v>5516441.39565976</v>
      </c>
      <c r="F13" s="6" t="n">
        <f aca="false">MIN(E13,ROUND(03_Initial_Recognition!$I$6/H13,2))</f>
        <v>104083.8</v>
      </c>
      <c r="G13" s="6" t="n">
        <f aca="false">MAX(0,E13-F13)</f>
        <v>5412357.59565976</v>
      </c>
      <c r="H13" s="1" t="n">
        <f aca="false">DATEDIF(01_Lease_Master!$D$6,01_Lease_Master!$AJ$6,"m")+IF(DAY(01_Lease_Master!$AJ$6)&gt;=DAY(01_Lease_Master!$D$6),1,0)</f>
        <v>60</v>
      </c>
      <c r="I13" s="1" t="s">
        <v>153</v>
      </c>
      <c r="J13" s="1" t="str">
        <f aca="false">IF(ABS(G13-5412357.6)&lt;=0.01,"PASS","CHECK")</f>
        <v>PASS</v>
      </c>
    </row>
    <row r="14" customFormat="false" ht="15" hidden="false" customHeight="true" outlineLevel="0" collapsed="false">
      <c r="A14" s="1" t="s">
        <v>65</v>
      </c>
      <c r="B14" s="1" t="n">
        <v>0</v>
      </c>
      <c r="C14" s="1" t="n">
        <v>9</v>
      </c>
      <c r="D14" s="7" t="n">
        <v>44896</v>
      </c>
      <c r="E14" s="6" t="n">
        <f aca="false">G13</f>
        <v>5412357.59565976</v>
      </c>
      <c r="F14" s="6" t="n">
        <f aca="false">MIN(E14,ROUND(03_Initial_Recognition!$I$6/H14,2))</f>
        <v>104083.8</v>
      </c>
      <c r="G14" s="6" t="n">
        <f aca="false">MAX(0,E14-F14)</f>
        <v>5308273.79565976</v>
      </c>
      <c r="H14" s="1" t="n">
        <f aca="false">DATEDIF(01_Lease_Master!$D$6,01_Lease_Master!$AJ$6,"m")+IF(DAY(01_Lease_Master!$AJ$6)&gt;=DAY(01_Lease_Master!$D$6),1,0)</f>
        <v>60</v>
      </c>
      <c r="I14" s="1" t="s">
        <v>153</v>
      </c>
      <c r="J14" s="1" t="str">
        <f aca="false">IF(ABS(G14-5308273.8)&lt;=0.01,"PASS","CHECK")</f>
        <v>PASS</v>
      </c>
    </row>
    <row r="15" customFormat="false" ht="15" hidden="false" customHeight="true" outlineLevel="0" collapsed="false">
      <c r="A15" s="1" t="s">
        <v>65</v>
      </c>
      <c r="B15" s="1" t="n">
        <v>0</v>
      </c>
      <c r="C15" s="1" t="n">
        <v>10</v>
      </c>
      <c r="D15" s="7" t="n">
        <v>44927</v>
      </c>
      <c r="E15" s="6" t="n">
        <f aca="false">G14</f>
        <v>5308273.79565976</v>
      </c>
      <c r="F15" s="6" t="n">
        <f aca="false">MIN(E15,ROUND(03_Initial_Recognition!$I$6/H15,2))</f>
        <v>104083.8</v>
      </c>
      <c r="G15" s="6" t="n">
        <f aca="false">MAX(0,E15-F15)</f>
        <v>5204189.99565976</v>
      </c>
      <c r="H15" s="1" t="n">
        <f aca="false">DATEDIF(01_Lease_Master!$D$6,01_Lease_Master!$AJ$6,"m")+IF(DAY(01_Lease_Master!$AJ$6)&gt;=DAY(01_Lease_Master!$D$6),1,0)</f>
        <v>60</v>
      </c>
      <c r="I15" s="1" t="s">
        <v>153</v>
      </c>
      <c r="J15" s="1" t="str">
        <f aca="false">IF(ABS(G15-5204190)&lt;=0.01,"PASS","CHECK")</f>
        <v>PASS</v>
      </c>
    </row>
    <row r="16" customFormat="false" ht="15" hidden="false" customHeight="true" outlineLevel="0" collapsed="false">
      <c r="A16" s="1" t="s">
        <v>65</v>
      </c>
      <c r="B16" s="1" t="n">
        <v>0</v>
      </c>
      <c r="C16" s="1" t="n">
        <v>11</v>
      </c>
      <c r="D16" s="7" t="n">
        <v>44958</v>
      </c>
      <c r="E16" s="6" t="n">
        <f aca="false">G15</f>
        <v>5204189.99565976</v>
      </c>
      <c r="F16" s="6" t="n">
        <f aca="false">MIN(E16,ROUND(03_Initial_Recognition!$I$6/H16,2))</f>
        <v>104083.8</v>
      </c>
      <c r="G16" s="6" t="n">
        <f aca="false">MAX(0,E16-F16)</f>
        <v>5100106.19565976</v>
      </c>
      <c r="H16" s="1" t="n">
        <f aca="false">DATEDIF(01_Lease_Master!$D$6,01_Lease_Master!$AJ$6,"m")+IF(DAY(01_Lease_Master!$AJ$6)&gt;=DAY(01_Lease_Master!$D$6),1,0)</f>
        <v>60</v>
      </c>
      <c r="I16" s="1" t="s">
        <v>153</v>
      </c>
      <c r="J16" s="1" t="str">
        <f aca="false">IF(ABS(G16-5100106.2)&lt;=0.01,"PASS","CHECK")</f>
        <v>PASS</v>
      </c>
    </row>
    <row r="17" customFormat="false" ht="15" hidden="false" customHeight="true" outlineLevel="0" collapsed="false">
      <c r="A17" s="1" t="s">
        <v>65</v>
      </c>
      <c r="B17" s="1" t="n">
        <v>0</v>
      </c>
      <c r="C17" s="1" t="n">
        <v>12</v>
      </c>
      <c r="D17" s="7" t="n">
        <v>44986</v>
      </c>
      <c r="E17" s="6" t="n">
        <f aca="false">G16</f>
        <v>5100106.19565976</v>
      </c>
      <c r="F17" s="6" t="n">
        <f aca="false">MIN(E17,ROUND(03_Initial_Recognition!$I$6/H17,2))</f>
        <v>104083.8</v>
      </c>
      <c r="G17" s="6" t="n">
        <f aca="false">MAX(0,E17-F17)</f>
        <v>4996022.39565976</v>
      </c>
      <c r="H17" s="1" t="n">
        <f aca="false">DATEDIF(01_Lease_Master!$D$6,01_Lease_Master!$AJ$6,"m")+IF(DAY(01_Lease_Master!$AJ$6)&gt;=DAY(01_Lease_Master!$D$6),1,0)</f>
        <v>60</v>
      </c>
      <c r="I17" s="1" t="s">
        <v>153</v>
      </c>
      <c r="J17" s="1" t="str">
        <f aca="false">IF(ABS(G17-4996022.4)&lt;=0.01,"PASS","CHECK")</f>
        <v>PASS</v>
      </c>
    </row>
    <row r="18" customFormat="false" ht="15" hidden="false" customHeight="true" outlineLevel="0" collapsed="false">
      <c r="A18" s="1" t="s">
        <v>65</v>
      </c>
      <c r="B18" s="1" t="n">
        <v>0</v>
      </c>
      <c r="C18" s="1" t="n">
        <v>13</v>
      </c>
      <c r="D18" s="7" t="n">
        <v>45017</v>
      </c>
      <c r="E18" s="6" t="n">
        <f aca="false">G17</f>
        <v>4996022.39565976</v>
      </c>
      <c r="F18" s="6" t="n">
        <f aca="false">MIN(E18,ROUND(03_Initial_Recognition!$I$6/H18,2))</f>
        <v>104083.8</v>
      </c>
      <c r="G18" s="6" t="n">
        <f aca="false">MAX(0,E18-F18)</f>
        <v>4891938.59565976</v>
      </c>
      <c r="H18" s="1" t="n">
        <f aca="false">DATEDIF(01_Lease_Master!$D$6,01_Lease_Master!$AJ$6,"m")+IF(DAY(01_Lease_Master!$AJ$6)&gt;=DAY(01_Lease_Master!$D$6),1,0)</f>
        <v>60</v>
      </c>
      <c r="I18" s="1" t="s">
        <v>153</v>
      </c>
      <c r="J18" s="1" t="str">
        <f aca="false">IF(ABS(G18-4891938.6)&lt;=0.01,"PASS","CHECK")</f>
        <v>PASS</v>
      </c>
    </row>
    <row r="19" customFormat="false" ht="15" hidden="false" customHeight="true" outlineLevel="0" collapsed="false">
      <c r="A19" s="1" t="s">
        <v>65</v>
      </c>
      <c r="B19" s="1" t="n">
        <v>0</v>
      </c>
      <c r="C19" s="1" t="n">
        <v>14</v>
      </c>
      <c r="D19" s="7" t="n">
        <v>45047</v>
      </c>
      <c r="E19" s="6" t="n">
        <f aca="false">G18</f>
        <v>4891938.59565976</v>
      </c>
      <c r="F19" s="6" t="n">
        <f aca="false">MIN(E19,ROUND(03_Initial_Recognition!$I$6/H19,2))</f>
        <v>104083.8</v>
      </c>
      <c r="G19" s="6" t="n">
        <f aca="false">MAX(0,E19-F19)</f>
        <v>4787854.79565976</v>
      </c>
      <c r="H19" s="1" t="n">
        <f aca="false">DATEDIF(01_Lease_Master!$D$6,01_Lease_Master!$AJ$6,"m")+IF(DAY(01_Lease_Master!$AJ$6)&gt;=DAY(01_Lease_Master!$D$6),1,0)</f>
        <v>60</v>
      </c>
      <c r="I19" s="1" t="s">
        <v>153</v>
      </c>
      <c r="J19" s="1" t="str">
        <f aca="false">IF(ABS(G19-4787854.8)&lt;=0.01,"PASS","CHECK")</f>
        <v>PASS</v>
      </c>
    </row>
    <row r="20" customFormat="false" ht="15" hidden="false" customHeight="true" outlineLevel="0" collapsed="false">
      <c r="A20" s="1" t="s">
        <v>65</v>
      </c>
      <c r="B20" s="1" t="n">
        <v>0</v>
      </c>
      <c r="C20" s="1" t="n">
        <v>15</v>
      </c>
      <c r="D20" s="7" t="n">
        <v>45078</v>
      </c>
      <c r="E20" s="6" t="n">
        <f aca="false">G19</f>
        <v>4787854.79565976</v>
      </c>
      <c r="F20" s="6" t="n">
        <f aca="false">MIN(E20,ROUND(03_Initial_Recognition!$I$6/H20,2))</f>
        <v>104083.8</v>
      </c>
      <c r="G20" s="6" t="n">
        <f aca="false">MAX(0,E20-F20)</f>
        <v>4683770.99565976</v>
      </c>
      <c r="H20" s="1" t="n">
        <f aca="false">DATEDIF(01_Lease_Master!$D$6,01_Lease_Master!$AJ$6,"m")+IF(DAY(01_Lease_Master!$AJ$6)&gt;=DAY(01_Lease_Master!$D$6),1,0)</f>
        <v>60</v>
      </c>
      <c r="I20" s="1" t="s">
        <v>153</v>
      </c>
      <c r="J20" s="1" t="str">
        <f aca="false">IF(ABS(G20-4683771)&lt;=0.01,"PASS","CHECK")</f>
        <v>PASS</v>
      </c>
    </row>
    <row r="21" customFormat="false" ht="15" hidden="false" customHeight="true" outlineLevel="0" collapsed="false">
      <c r="A21" s="1" t="s">
        <v>65</v>
      </c>
      <c r="B21" s="1" t="n">
        <v>0</v>
      </c>
      <c r="C21" s="1" t="n">
        <v>16</v>
      </c>
      <c r="D21" s="7" t="n">
        <v>45108</v>
      </c>
      <c r="E21" s="6" t="n">
        <f aca="false">G20</f>
        <v>4683770.99565976</v>
      </c>
      <c r="F21" s="6" t="n">
        <f aca="false">MIN(E21,ROUND(03_Initial_Recognition!$I$6/H21,2))</f>
        <v>104083.8</v>
      </c>
      <c r="G21" s="6" t="n">
        <f aca="false">MAX(0,E21-F21)</f>
        <v>4579687.19565976</v>
      </c>
      <c r="H21" s="1" t="n">
        <f aca="false">DATEDIF(01_Lease_Master!$D$6,01_Lease_Master!$AJ$6,"m")+IF(DAY(01_Lease_Master!$AJ$6)&gt;=DAY(01_Lease_Master!$D$6),1,0)</f>
        <v>60</v>
      </c>
      <c r="I21" s="1" t="s">
        <v>153</v>
      </c>
      <c r="J21" s="1" t="str">
        <f aca="false">IF(ABS(G21-4579687.2)&lt;=0.01,"PASS","CHECK")</f>
        <v>PASS</v>
      </c>
    </row>
    <row r="22" customFormat="false" ht="15" hidden="false" customHeight="true" outlineLevel="0" collapsed="false">
      <c r="A22" s="1" t="s">
        <v>65</v>
      </c>
      <c r="B22" s="1" t="n">
        <v>0</v>
      </c>
      <c r="C22" s="1" t="n">
        <v>17</v>
      </c>
      <c r="D22" s="7" t="n">
        <v>45139</v>
      </c>
      <c r="E22" s="6" t="n">
        <f aca="false">G21</f>
        <v>4579687.19565976</v>
      </c>
      <c r="F22" s="6" t="n">
        <f aca="false">MIN(E22,ROUND(03_Initial_Recognition!$I$6/H22,2))</f>
        <v>104083.8</v>
      </c>
      <c r="G22" s="6" t="n">
        <f aca="false">MAX(0,E22-F22)</f>
        <v>4475603.39565976</v>
      </c>
      <c r="H22" s="1" t="n">
        <f aca="false">DATEDIF(01_Lease_Master!$D$6,01_Lease_Master!$AJ$6,"m")+IF(DAY(01_Lease_Master!$AJ$6)&gt;=DAY(01_Lease_Master!$D$6),1,0)</f>
        <v>60</v>
      </c>
      <c r="I22" s="1" t="s">
        <v>153</v>
      </c>
      <c r="J22" s="1" t="str">
        <f aca="false">IF(ABS(G22-4475603.4)&lt;=0.01,"PASS","CHECK")</f>
        <v>PASS</v>
      </c>
    </row>
    <row r="23" customFormat="false" ht="15" hidden="false" customHeight="true" outlineLevel="0" collapsed="false">
      <c r="A23" s="1" t="s">
        <v>65</v>
      </c>
      <c r="B23" s="1" t="n">
        <v>0</v>
      </c>
      <c r="C23" s="1" t="n">
        <v>18</v>
      </c>
      <c r="D23" s="7" t="n">
        <v>45170</v>
      </c>
      <c r="E23" s="6" t="n">
        <f aca="false">G22</f>
        <v>4475603.39565976</v>
      </c>
      <c r="F23" s="6" t="n">
        <f aca="false">MIN(E23,ROUND(03_Initial_Recognition!$I$6/H23,2))</f>
        <v>104083.8</v>
      </c>
      <c r="G23" s="6" t="n">
        <f aca="false">MAX(0,E23-F23)</f>
        <v>4371519.59565976</v>
      </c>
      <c r="H23" s="1" t="n">
        <f aca="false">DATEDIF(01_Lease_Master!$D$6,01_Lease_Master!$AJ$6,"m")+IF(DAY(01_Lease_Master!$AJ$6)&gt;=DAY(01_Lease_Master!$D$6),1,0)</f>
        <v>60</v>
      </c>
      <c r="I23" s="1" t="s">
        <v>153</v>
      </c>
      <c r="J23" s="1" t="str">
        <f aca="false">IF(ABS(G23-4371519.6)&lt;=0.01,"PASS","CHECK")</f>
        <v>PASS</v>
      </c>
    </row>
    <row r="24" customFormat="false" ht="15" hidden="false" customHeight="true" outlineLevel="0" collapsed="false">
      <c r="A24" s="1" t="s">
        <v>65</v>
      </c>
      <c r="B24" s="1" t="n">
        <v>0</v>
      </c>
      <c r="C24" s="1" t="n">
        <v>19</v>
      </c>
      <c r="D24" s="7" t="n">
        <v>45200</v>
      </c>
      <c r="E24" s="6" t="n">
        <f aca="false">G23</f>
        <v>4371519.59565976</v>
      </c>
      <c r="F24" s="6" t="n">
        <f aca="false">MIN(E24,ROUND(03_Initial_Recognition!$I$6/H24,2))</f>
        <v>104083.8</v>
      </c>
      <c r="G24" s="6" t="n">
        <f aca="false">MAX(0,E24-F24)</f>
        <v>4267435.79565976</v>
      </c>
      <c r="H24" s="1" t="n">
        <f aca="false">DATEDIF(01_Lease_Master!$D$6,01_Lease_Master!$AJ$6,"m")+IF(DAY(01_Lease_Master!$AJ$6)&gt;=DAY(01_Lease_Master!$D$6),1,0)</f>
        <v>60</v>
      </c>
      <c r="I24" s="1" t="s">
        <v>153</v>
      </c>
      <c r="J24" s="1" t="str">
        <f aca="false">IF(ABS(G24-4267435.8)&lt;=0.01,"PASS","CHECK")</f>
        <v>PASS</v>
      </c>
    </row>
    <row r="25" customFormat="false" ht="15" hidden="false" customHeight="true" outlineLevel="0" collapsed="false">
      <c r="A25" s="1" t="s">
        <v>65</v>
      </c>
      <c r="B25" s="1" t="n">
        <v>0</v>
      </c>
      <c r="C25" s="1" t="n">
        <v>20</v>
      </c>
      <c r="D25" s="7" t="n">
        <v>45231</v>
      </c>
      <c r="E25" s="6" t="n">
        <f aca="false">G24</f>
        <v>4267435.79565976</v>
      </c>
      <c r="F25" s="6" t="n">
        <f aca="false">MIN(E25,ROUND(03_Initial_Recognition!$I$6/H25,2))</f>
        <v>104083.8</v>
      </c>
      <c r="G25" s="6" t="n">
        <f aca="false">MAX(0,E25-F25)</f>
        <v>4163351.99565976</v>
      </c>
      <c r="H25" s="1" t="n">
        <f aca="false">DATEDIF(01_Lease_Master!$D$6,01_Lease_Master!$AJ$6,"m")+IF(DAY(01_Lease_Master!$AJ$6)&gt;=DAY(01_Lease_Master!$D$6),1,0)</f>
        <v>60</v>
      </c>
      <c r="I25" s="1" t="s">
        <v>153</v>
      </c>
      <c r="J25" s="1" t="str">
        <f aca="false">IF(ABS(G25-4163352)&lt;=0.01,"PASS","CHECK")</f>
        <v>PASS</v>
      </c>
    </row>
    <row r="26" customFormat="false" ht="15" hidden="false" customHeight="true" outlineLevel="0" collapsed="false">
      <c r="A26" s="1" t="s">
        <v>65</v>
      </c>
      <c r="B26" s="1" t="n">
        <v>0</v>
      </c>
      <c r="C26" s="1" t="n">
        <v>21</v>
      </c>
      <c r="D26" s="7" t="n">
        <v>45261</v>
      </c>
      <c r="E26" s="6" t="n">
        <f aca="false">G25</f>
        <v>4163351.99565976</v>
      </c>
      <c r="F26" s="6" t="n">
        <f aca="false">MIN(E26,ROUND(03_Initial_Recognition!$I$6/H26,2))</f>
        <v>104083.8</v>
      </c>
      <c r="G26" s="6" t="n">
        <f aca="false">MAX(0,E26-F26)</f>
        <v>4059268.19565976</v>
      </c>
      <c r="H26" s="1" t="n">
        <f aca="false">DATEDIF(01_Lease_Master!$D$6,01_Lease_Master!$AJ$6,"m")+IF(DAY(01_Lease_Master!$AJ$6)&gt;=DAY(01_Lease_Master!$D$6),1,0)</f>
        <v>60</v>
      </c>
      <c r="I26" s="1" t="s">
        <v>153</v>
      </c>
      <c r="J26" s="1" t="str">
        <f aca="false">IF(ABS(G26-4059268.2)&lt;=0.01,"PASS","CHECK")</f>
        <v>PASS</v>
      </c>
    </row>
    <row r="27" customFormat="false" ht="15" hidden="false" customHeight="true" outlineLevel="0" collapsed="false">
      <c r="A27" s="1" t="s">
        <v>65</v>
      </c>
      <c r="B27" s="1" t="n">
        <v>0</v>
      </c>
      <c r="C27" s="1" t="n">
        <v>22</v>
      </c>
      <c r="D27" s="7" t="n">
        <v>45292</v>
      </c>
      <c r="E27" s="6" t="n">
        <f aca="false">G26</f>
        <v>4059268.19565976</v>
      </c>
      <c r="F27" s="6" t="n">
        <f aca="false">MIN(E27,ROUND(03_Initial_Recognition!$I$6/H27,2))</f>
        <v>104083.8</v>
      </c>
      <c r="G27" s="6" t="n">
        <f aca="false">MAX(0,E27-F27)</f>
        <v>3955184.39565976</v>
      </c>
      <c r="H27" s="1" t="n">
        <f aca="false">DATEDIF(01_Lease_Master!$D$6,01_Lease_Master!$AJ$6,"m")+IF(DAY(01_Lease_Master!$AJ$6)&gt;=DAY(01_Lease_Master!$D$6),1,0)</f>
        <v>60</v>
      </c>
      <c r="I27" s="1" t="s">
        <v>153</v>
      </c>
      <c r="J27" s="1" t="str">
        <f aca="false">IF(ABS(G27-3955184.4)&lt;=0.01,"PASS","CHECK")</f>
        <v>PASS</v>
      </c>
    </row>
    <row r="28" customFormat="false" ht="15" hidden="false" customHeight="true" outlineLevel="0" collapsed="false">
      <c r="A28" s="1" t="s">
        <v>65</v>
      </c>
      <c r="B28" s="1" t="n">
        <v>0</v>
      </c>
      <c r="C28" s="1" t="n">
        <v>23</v>
      </c>
      <c r="D28" s="7" t="n">
        <v>45323</v>
      </c>
      <c r="E28" s="6" t="n">
        <f aca="false">G27</f>
        <v>3955184.39565976</v>
      </c>
      <c r="F28" s="6" t="n">
        <f aca="false">MIN(E28,ROUND(03_Initial_Recognition!$I$6/H28,2))</f>
        <v>104083.8</v>
      </c>
      <c r="G28" s="6" t="n">
        <f aca="false">MAX(0,E28-F28)</f>
        <v>3851100.59565976</v>
      </c>
      <c r="H28" s="1" t="n">
        <f aca="false">DATEDIF(01_Lease_Master!$D$6,01_Lease_Master!$AJ$6,"m")+IF(DAY(01_Lease_Master!$AJ$6)&gt;=DAY(01_Lease_Master!$D$6),1,0)</f>
        <v>60</v>
      </c>
      <c r="I28" s="1" t="s">
        <v>153</v>
      </c>
      <c r="J28" s="1" t="str">
        <f aca="false">IF(ABS(G28-3851100.6)&lt;=0.01,"PASS","CHECK")</f>
        <v>PASS</v>
      </c>
    </row>
    <row r="29" customFormat="false" ht="15" hidden="false" customHeight="true" outlineLevel="0" collapsed="false">
      <c r="A29" s="1" t="s">
        <v>65</v>
      </c>
      <c r="B29" s="1" t="n">
        <v>0</v>
      </c>
      <c r="C29" s="1" t="n">
        <v>24</v>
      </c>
      <c r="D29" s="7" t="n">
        <v>45352</v>
      </c>
      <c r="E29" s="6" t="n">
        <f aca="false">G28</f>
        <v>3851100.59565976</v>
      </c>
      <c r="F29" s="6" t="n">
        <f aca="false">MIN(E29,ROUND(03_Initial_Recognition!$I$6/H29,2))</f>
        <v>104083.8</v>
      </c>
      <c r="G29" s="6" t="n">
        <f aca="false">MAX(0,E29-F29)</f>
        <v>3747016.79565976</v>
      </c>
      <c r="H29" s="1" t="n">
        <f aca="false">DATEDIF(01_Lease_Master!$D$6,01_Lease_Master!$AJ$6,"m")+IF(DAY(01_Lease_Master!$AJ$6)&gt;=DAY(01_Lease_Master!$D$6),1,0)</f>
        <v>60</v>
      </c>
      <c r="I29" s="1" t="s">
        <v>153</v>
      </c>
      <c r="J29" s="1" t="str">
        <f aca="false">IF(ABS(G29-3747016.8)&lt;=0.01,"PASS","CHECK")</f>
        <v>PASS</v>
      </c>
    </row>
    <row r="30" customFormat="false" ht="15" hidden="false" customHeight="true" outlineLevel="0" collapsed="false">
      <c r="A30" s="1" t="s">
        <v>65</v>
      </c>
      <c r="B30" s="1" t="n">
        <v>0</v>
      </c>
      <c r="C30" s="1" t="n">
        <v>25</v>
      </c>
      <c r="D30" s="7" t="n">
        <v>45383</v>
      </c>
      <c r="E30" s="6" t="n">
        <f aca="false">G29</f>
        <v>3747016.79565976</v>
      </c>
      <c r="F30" s="6" t="n">
        <f aca="false">MIN(E30,ROUND(03_Initial_Recognition!$I$6/H30,2))</f>
        <v>104083.8</v>
      </c>
      <c r="G30" s="6" t="n">
        <f aca="false">MAX(0,E30-F30)</f>
        <v>3642932.99565976</v>
      </c>
      <c r="H30" s="1" t="n">
        <f aca="false">DATEDIF(01_Lease_Master!$D$6,01_Lease_Master!$AJ$6,"m")+IF(DAY(01_Lease_Master!$AJ$6)&gt;=DAY(01_Lease_Master!$D$6),1,0)</f>
        <v>60</v>
      </c>
      <c r="I30" s="1" t="s">
        <v>153</v>
      </c>
      <c r="J30" s="1" t="str">
        <f aca="false">IF(ABS(G30-3642933)&lt;=0.01,"PASS","CHECK")</f>
        <v>PASS</v>
      </c>
    </row>
    <row r="31" customFormat="false" ht="15" hidden="false" customHeight="true" outlineLevel="0" collapsed="false">
      <c r="A31" s="1" t="s">
        <v>65</v>
      </c>
      <c r="B31" s="1" t="n">
        <v>0</v>
      </c>
      <c r="C31" s="1" t="n">
        <v>26</v>
      </c>
      <c r="D31" s="7" t="n">
        <v>45413</v>
      </c>
      <c r="E31" s="6" t="n">
        <f aca="false">G30</f>
        <v>3642932.99565976</v>
      </c>
      <c r="F31" s="6" t="n">
        <f aca="false">MIN(E31,ROUND(03_Initial_Recognition!$I$6/H31,2))</f>
        <v>104083.8</v>
      </c>
      <c r="G31" s="6" t="n">
        <f aca="false">MAX(0,E31-F31)</f>
        <v>3538849.19565976</v>
      </c>
      <c r="H31" s="1" t="n">
        <f aca="false">DATEDIF(01_Lease_Master!$D$6,01_Lease_Master!$AJ$6,"m")+IF(DAY(01_Lease_Master!$AJ$6)&gt;=DAY(01_Lease_Master!$D$6),1,0)</f>
        <v>60</v>
      </c>
      <c r="I31" s="1" t="s">
        <v>153</v>
      </c>
      <c r="J31" s="1" t="str">
        <f aca="false">IF(ABS(G31-3538849.2)&lt;=0.01,"PASS","CHECK")</f>
        <v>PASS</v>
      </c>
    </row>
    <row r="32" customFormat="false" ht="15" hidden="false" customHeight="true" outlineLevel="0" collapsed="false">
      <c r="A32" s="1" t="s">
        <v>65</v>
      </c>
      <c r="B32" s="1" t="n">
        <v>0</v>
      </c>
      <c r="C32" s="1" t="n">
        <v>27</v>
      </c>
      <c r="D32" s="7" t="n">
        <v>45444</v>
      </c>
      <c r="E32" s="6" t="n">
        <f aca="false">G31</f>
        <v>3538849.19565976</v>
      </c>
      <c r="F32" s="6" t="n">
        <f aca="false">MIN(E32,ROUND(03_Initial_Recognition!$I$6/H32,2))</f>
        <v>104083.8</v>
      </c>
      <c r="G32" s="6" t="n">
        <f aca="false">MAX(0,E32-F32)</f>
        <v>3434765.39565976</v>
      </c>
      <c r="H32" s="1" t="n">
        <f aca="false">DATEDIF(01_Lease_Master!$D$6,01_Lease_Master!$AJ$6,"m")+IF(DAY(01_Lease_Master!$AJ$6)&gt;=DAY(01_Lease_Master!$D$6),1,0)</f>
        <v>60</v>
      </c>
      <c r="I32" s="1" t="s">
        <v>153</v>
      </c>
      <c r="J32" s="1" t="str">
        <f aca="false">IF(ABS(G32-3434765.4)&lt;=0.01,"PASS","CHECK")</f>
        <v>PASS</v>
      </c>
    </row>
    <row r="33" customFormat="false" ht="15" hidden="false" customHeight="true" outlineLevel="0" collapsed="false">
      <c r="A33" s="1" t="s">
        <v>65</v>
      </c>
      <c r="B33" s="1" t="n">
        <v>0</v>
      </c>
      <c r="C33" s="1" t="n">
        <v>28</v>
      </c>
      <c r="D33" s="7" t="n">
        <v>45474</v>
      </c>
      <c r="E33" s="6" t="n">
        <f aca="false">G32</f>
        <v>3434765.39565976</v>
      </c>
      <c r="F33" s="6" t="n">
        <f aca="false">MIN(E33,ROUND(03_Initial_Recognition!$I$6/H33,2))</f>
        <v>104083.8</v>
      </c>
      <c r="G33" s="6" t="n">
        <f aca="false">MAX(0,E33-F33)</f>
        <v>3330681.59565976</v>
      </c>
      <c r="H33" s="1" t="n">
        <f aca="false">DATEDIF(01_Lease_Master!$D$6,01_Lease_Master!$AJ$6,"m")+IF(DAY(01_Lease_Master!$AJ$6)&gt;=DAY(01_Lease_Master!$D$6),1,0)</f>
        <v>60</v>
      </c>
      <c r="I33" s="1" t="s">
        <v>153</v>
      </c>
      <c r="J33" s="1" t="str">
        <f aca="false">IF(ABS(G33-3330681.6)&lt;=0.01,"PASS","CHECK")</f>
        <v>PASS</v>
      </c>
    </row>
    <row r="34" customFormat="false" ht="15" hidden="false" customHeight="true" outlineLevel="0" collapsed="false">
      <c r="A34" s="1" t="s">
        <v>65</v>
      </c>
      <c r="B34" s="1" t="n">
        <v>0</v>
      </c>
      <c r="C34" s="1" t="n">
        <v>29</v>
      </c>
      <c r="D34" s="7" t="n">
        <v>45505</v>
      </c>
      <c r="E34" s="6" t="n">
        <f aca="false">G33</f>
        <v>3330681.59565976</v>
      </c>
      <c r="F34" s="6" t="n">
        <f aca="false">MIN(E34,ROUND(03_Initial_Recognition!$I$6/H34,2))</f>
        <v>104083.8</v>
      </c>
      <c r="G34" s="6" t="n">
        <f aca="false">MAX(0,E34-F34)</f>
        <v>3226597.79565976</v>
      </c>
      <c r="H34" s="1" t="n">
        <f aca="false">DATEDIF(01_Lease_Master!$D$6,01_Lease_Master!$AJ$6,"m")+IF(DAY(01_Lease_Master!$AJ$6)&gt;=DAY(01_Lease_Master!$D$6),1,0)</f>
        <v>60</v>
      </c>
      <c r="I34" s="1" t="s">
        <v>153</v>
      </c>
      <c r="J34" s="1" t="str">
        <f aca="false">IF(ABS(G34-3226597.8)&lt;=0.01,"PASS","CHECK")</f>
        <v>PASS</v>
      </c>
    </row>
    <row r="35" customFormat="false" ht="15" hidden="false" customHeight="true" outlineLevel="0" collapsed="false">
      <c r="A35" s="1" t="s">
        <v>65</v>
      </c>
      <c r="B35" s="1" t="n">
        <v>0</v>
      </c>
      <c r="C35" s="1" t="n">
        <v>30</v>
      </c>
      <c r="D35" s="7" t="n">
        <v>45536</v>
      </c>
      <c r="E35" s="6" t="n">
        <f aca="false">G34</f>
        <v>3226597.79565976</v>
      </c>
      <c r="F35" s="6" t="n">
        <f aca="false">MIN(E35,ROUND(03_Initial_Recognition!$I$6/H35,2))</f>
        <v>104083.8</v>
      </c>
      <c r="G35" s="6" t="n">
        <f aca="false">MAX(0,E35-F35)</f>
        <v>3122513.99565976</v>
      </c>
      <c r="H35" s="1" t="n">
        <f aca="false">DATEDIF(01_Lease_Master!$D$6,01_Lease_Master!$AJ$6,"m")+IF(DAY(01_Lease_Master!$AJ$6)&gt;=DAY(01_Lease_Master!$D$6),1,0)</f>
        <v>60</v>
      </c>
      <c r="I35" s="1" t="s">
        <v>153</v>
      </c>
      <c r="J35" s="1" t="str">
        <f aca="false">IF(ABS(G35-3122514)&lt;=0.01,"PASS","CHECK")</f>
        <v>PASS</v>
      </c>
    </row>
    <row r="36" customFormat="false" ht="15" hidden="false" customHeight="true" outlineLevel="0" collapsed="false">
      <c r="A36" s="1" t="s">
        <v>65</v>
      </c>
      <c r="B36" s="1" t="n">
        <v>0</v>
      </c>
      <c r="C36" s="1" t="n">
        <v>31</v>
      </c>
      <c r="D36" s="7" t="n">
        <v>45566</v>
      </c>
      <c r="E36" s="6" t="n">
        <f aca="false">G35</f>
        <v>3122513.99565976</v>
      </c>
      <c r="F36" s="6" t="n">
        <f aca="false">MIN(E36,ROUND(03_Initial_Recognition!$I$6/H36,2))</f>
        <v>104083.8</v>
      </c>
      <c r="G36" s="6" t="n">
        <f aca="false">MAX(0,E36-F36)</f>
        <v>3018430.19565976</v>
      </c>
      <c r="H36" s="1" t="n">
        <f aca="false">DATEDIF(01_Lease_Master!$D$6,01_Lease_Master!$AJ$6,"m")+IF(DAY(01_Lease_Master!$AJ$6)&gt;=DAY(01_Lease_Master!$D$6),1,0)</f>
        <v>60</v>
      </c>
      <c r="I36" s="1" t="s">
        <v>153</v>
      </c>
      <c r="J36" s="1" t="str">
        <f aca="false">IF(ABS(G36-3018430.2)&lt;=0.01,"PASS","CHECK")</f>
        <v>PASS</v>
      </c>
    </row>
    <row r="37" customFormat="false" ht="15" hidden="false" customHeight="true" outlineLevel="0" collapsed="false">
      <c r="A37" s="1" t="s">
        <v>65</v>
      </c>
      <c r="B37" s="1" t="n">
        <v>0</v>
      </c>
      <c r="C37" s="1" t="n">
        <v>32</v>
      </c>
      <c r="D37" s="7" t="n">
        <v>45597</v>
      </c>
      <c r="E37" s="6" t="n">
        <f aca="false">G36</f>
        <v>3018430.19565976</v>
      </c>
      <c r="F37" s="6" t="n">
        <f aca="false">MIN(E37,ROUND(03_Initial_Recognition!$I$6/H37,2))</f>
        <v>104083.8</v>
      </c>
      <c r="G37" s="6" t="n">
        <f aca="false">MAX(0,E37-F37)</f>
        <v>2914346.39565976</v>
      </c>
      <c r="H37" s="1" t="n">
        <f aca="false">DATEDIF(01_Lease_Master!$D$6,01_Lease_Master!$AJ$6,"m")+IF(DAY(01_Lease_Master!$AJ$6)&gt;=DAY(01_Lease_Master!$D$6),1,0)</f>
        <v>60</v>
      </c>
      <c r="I37" s="1" t="s">
        <v>153</v>
      </c>
      <c r="J37" s="1" t="str">
        <f aca="false">IF(ABS(G37-2914346.4)&lt;=0.01,"PASS","CHECK")</f>
        <v>PASS</v>
      </c>
    </row>
    <row r="38" customFormat="false" ht="15" hidden="false" customHeight="true" outlineLevel="0" collapsed="false">
      <c r="A38" s="1" t="s">
        <v>65</v>
      </c>
      <c r="B38" s="1" t="n">
        <v>0</v>
      </c>
      <c r="C38" s="1" t="n">
        <v>33</v>
      </c>
      <c r="D38" s="7" t="n">
        <v>45627</v>
      </c>
      <c r="E38" s="6" t="n">
        <f aca="false">G37</f>
        <v>2914346.39565976</v>
      </c>
      <c r="F38" s="6" t="n">
        <f aca="false">MIN(E38,ROUND(03_Initial_Recognition!$I$6/H38,2))</f>
        <v>104083.8</v>
      </c>
      <c r="G38" s="6" t="n">
        <f aca="false">MAX(0,E38-F38)</f>
        <v>2810262.59565976</v>
      </c>
      <c r="H38" s="1" t="n">
        <f aca="false">DATEDIF(01_Lease_Master!$D$6,01_Lease_Master!$AJ$6,"m")+IF(DAY(01_Lease_Master!$AJ$6)&gt;=DAY(01_Lease_Master!$D$6),1,0)</f>
        <v>60</v>
      </c>
      <c r="I38" s="1" t="s">
        <v>153</v>
      </c>
      <c r="J38" s="1" t="str">
        <f aca="false">IF(ABS(G38-2810262.6)&lt;=0.01,"PASS","CHECK")</f>
        <v>PASS</v>
      </c>
    </row>
    <row r="39" customFormat="false" ht="15" hidden="false" customHeight="true" outlineLevel="0" collapsed="false">
      <c r="A39" s="1" t="s">
        <v>65</v>
      </c>
      <c r="B39" s="1" t="n">
        <v>0</v>
      </c>
      <c r="C39" s="1" t="n">
        <v>34</v>
      </c>
      <c r="D39" s="7" t="n">
        <v>45658</v>
      </c>
      <c r="E39" s="6" t="n">
        <f aca="false">G38</f>
        <v>2810262.59565976</v>
      </c>
      <c r="F39" s="6" t="n">
        <f aca="false">MIN(E39,ROUND(03_Initial_Recognition!$I$6/H39,2))</f>
        <v>104083.8</v>
      </c>
      <c r="G39" s="6" t="n">
        <f aca="false">MAX(0,E39-F39)</f>
        <v>2706178.79565976</v>
      </c>
      <c r="H39" s="1" t="n">
        <f aca="false">DATEDIF(01_Lease_Master!$D$6,01_Lease_Master!$AJ$6,"m")+IF(DAY(01_Lease_Master!$AJ$6)&gt;=DAY(01_Lease_Master!$D$6),1,0)</f>
        <v>60</v>
      </c>
      <c r="I39" s="1" t="s">
        <v>153</v>
      </c>
      <c r="J39" s="1" t="str">
        <f aca="false">IF(ABS(G39-2706178.8)&lt;=0.01,"PASS","CHECK")</f>
        <v>PASS</v>
      </c>
    </row>
    <row r="40" customFormat="false" ht="15" hidden="false" customHeight="true" outlineLevel="0" collapsed="false">
      <c r="A40" s="1" t="s">
        <v>65</v>
      </c>
      <c r="B40" s="1" t="n">
        <v>0</v>
      </c>
      <c r="C40" s="1" t="n">
        <v>35</v>
      </c>
      <c r="D40" s="7" t="n">
        <v>45689</v>
      </c>
      <c r="E40" s="6" t="n">
        <f aca="false">G39</f>
        <v>2706178.79565976</v>
      </c>
      <c r="F40" s="6" t="n">
        <f aca="false">MIN(E40,ROUND(03_Initial_Recognition!$I$6/H40,2))</f>
        <v>104083.8</v>
      </c>
      <c r="G40" s="6" t="n">
        <f aca="false">MAX(0,E40-F40)</f>
        <v>2602094.99565976</v>
      </c>
      <c r="H40" s="1" t="n">
        <f aca="false">DATEDIF(01_Lease_Master!$D$6,01_Lease_Master!$AJ$6,"m")+IF(DAY(01_Lease_Master!$AJ$6)&gt;=DAY(01_Lease_Master!$D$6),1,0)</f>
        <v>60</v>
      </c>
      <c r="I40" s="1" t="s">
        <v>153</v>
      </c>
      <c r="J40" s="1" t="str">
        <f aca="false">IF(ABS(G40-2602095)&lt;=0.01,"PASS","CHECK")</f>
        <v>PASS</v>
      </c>
    </row>
    <row r="41" customFormat="false" ht="15" hidden="false" customHeight="true" outlineLevel="0" collapsed="false">
      <c r="A41" s="1" t="s">
        <v>65</v>
      </c>
      <c r="B41" s="1" t="n">
        <v>0</v>
      </c>
      <c r="C41" s="1" t="n">
        <v>36</v>
      </c>
      <c r="D41" s="7" t="n">
        <v>45717</v>
      </c>
      <c r="E41" s="6" t="n">
        <f aca="false">G40</f>
        <v>2602094.99565976</v>
      </c>
      <c r="F41" s="6" t="n">
        <f aca="false">MIN(E41,ROUND(03_Initial_Recognition!$I$6/H41,2))</f>
        <v>104083.8</v>
      </c>
      <c r="G41" s="6" t="n">
        <f aca="false">MAX(0,E41-F41)</f>
        <v>2498011.19565976</v>
      </c>
      <c r="H41" s="1" t="n">
        <f aca="false">DATEDIF(01_Lease_Master!$D$6,01_Lease_Master!$AJ$6,"m")+IF(DAY(01_Lease_Master!$AJ$6)&gt;=DAY(01_Lease_Master!$D$6),1,0)</f>
        <v>60</v>
      </c>
      <c r="I41" s="1" t="s">
        <v>153</v>
      </c>
      <c r="J41" s="1" t="str">
        <f aca="false">IF(ABS(G41-2498011.2)&lt;=0.01,"PASS","CHECK")</f>
        <v>PASS</v>
      </c>
    </row>
    <row r="42" customFormat="false" ht="15" hidden="false" customHeight="true" outlineLevel="0" collapsed="false">
      <c r="A42" s="1" t="s">
        <v>65</v>
      </c>
      <c r="B42" s="1" t="n">
        <v>0</v>
      </c>
      <c r="C42" s="1" t="n">
        <v>37</v>
      </c>
      <c r="D42" s="7" t="n">
        <v>45748</v>
      </c>
      <c r="E42" s="6" t="n">
        <f aca="false">G41</f>
        <v>2498011.19565976</v>
      </c>
      <c r="F42" s="6" t="n">
        <f aca="false">MIN(E42,ROUND(03_Initial_Recognition!$I$6/H42,2))</f>
        <v>104083.8</v>
      </c>
      <c r="G42" s="6" t="n">
        <f aca="false">MAX(0,E42-F42)</f>
        <v>2393927.39565976</v>
      </c>
      <c r="H42" s="1" t="n">
        <f aca="false">DATEDIF(01_Lease_Master!$D$6,01_Lease_Master!$AJ$6,"m")+IF(DAY(01_Lease_Master!$AJ$6)&gt;=DAY(01_Lease_Master!$D$6),1,0)</f>
        <v>60</v>
      </c>
      <c r="I42" s="1" t="s">
        <v>153</v>
      </c>
      <c r="J42" s="1" t="str">
        <f aca="false">IF(ABS(G42-2393927.4)&lt;=0.01,"PASS","CHECK")</f>
        <v>PASS</v>
      </c>
    </row>
    <row r="43" customFormat="false" ht="15" hidden="false" customHeight="true" outlineLevel="0" collapsed="false">
      <c r="A43" s="1" t="s">
        <v>65</v>
      </c>
      <c r="B43" s="1" t="n">
        <v>0</v>
      </c>
      <c r="C43" s="1" t="n">
        <v>38</v>
      </c>
      <c r="D43" s="7" t="n">
        <v>45778</v>
      </c>
      <c r="E43" s="6" t="n">
        <f aca="false">G42</f>
        <v>2393927.39565976</v>
      </c>
      <c r="F43" s="6" t="n">
        <f aca="false">MIN(E43,ROUND(03_Initial_Recognition!$I$6/H43,2))</f>
        <v>104083.8</v>
      </c>
      <c r="G43" s="6" t="n">
        <f aca="false">MAX(0,E43-F43)</f>
        <v>2289843.59565976</v>
      </c>
      <c r="H43" s="1" t="n">
        <f aca="false">DATEDIF(01_Lease_Master!$D$6,01_Lease_Master!$AJ$6,"m")+IF(DAY(01_Lease_Master!$AJ$6)&gt;=DAY(01_Lease_Master!$D$6),1,0)</f>
        <v>60</v>
      </c>
      <c r="I43" s="1" t="s">
        <v>153</v>
      </c>
      <c r="J43" s="1" t="str">
        <f aca="false">IF(ABS(G43-2289843.6)&lt;=0.01,"PASS","CHECK")</f>
        <v>PASS</v>
      </c>
    </row>
    <row r="44" customFormat="false" ht="15" hidden="false" customHeight="true" outlineLevel="0" collapsed="false">
      <c r="A44" s="1" t="s">
        <v>65</v>
      </c>
      <c r="B44" s="1" t="n">
        <v>0</v>
      </c>
      <c r="C44" s="1" t="n">
        <v>39</v>
      </c>
      <c r="D44" s="7" t="n">
        <v>45809</v>
      </c>
      <c r="E44" s="6" t="n">
        <f aca="false">G43</f>
        <v>2289843.59565976</v>
      </c>
      <c r="F44" s="6" t="n">
        <f aca="false">MIN(E44,ROUND(03_Initial_Recognition!$I$6/H44,2))</f>
        <v>104083.8</v>
      </c>
      <c r="G44" s="6" t="n">
        <f aca="false">MAX(0,E44-F44)</f>
        <v>2185759.79565976</v>
      </c>
      <c r="H44" s="1" t="n">
        <f aca="false">DATEDIF(01_Lease_Master!$D$6,01_Lease_Master!$AJ$6,"m")+IF(DAY(01_Lease_Master!$AJ$6)&gt;=DAY(01_Lease_Master!$D$6),1,0)</f>
        <v>60</v>
      </c>
      <c r="I44" s="1" t="s">
        <v>153</v>
      </c>
      <c r="J44" s="1" t="str">
        <f aca="false">IF(ABS(G44-2185759.8)&lt;=0.01,"PASS","CHECK")</f>
        <v>PASS</v>
      </c>
    </row>
    <row r="45" customFormat="false" ht="15" hidden="false" customHeight="true" outlineLevel="0" collapsed="false">
      <c r="A45" s="1" t="s">
        <v>65</v>
      </c>
      <c r="B45" s="1" t="n">
        <v>0</v>
      </c>
      <c r="C45" s="1" t="n">
        <v>40</v>
      </c>
      <c r="D45" s="7" t="n">
        <v>45839</v>
      </c>
      <c r="E45" s="6" t="n">
        <f aca="false">G44</f>
        <v>2185759.79565976</v>
      </c>
      <c r="F45" s="6" t="n">
        <f aca="false">MIN(E45,ROUND(03_Initial_Recognition!$I$6/H45,2))</f>
        <v>104083.8</v>
      </c>
      <c r="G45" s="6" t="n">
        <f aca="false">MAX(0,E45-F45)</f>
        <v>2081675.99565976</v>
      </c>
      <c r="H45" s="1" t="n">
        <f aca="false">DATEDIF(01_Lease_Master!$D$6,01_Lease_Master!$AJ$6,"m")+IF(DAY(01_Lease_Master!$AJ$6)&gt;=DAY(01_Lease_Master!$D$6),1,0)</f>
        <v>60</v>
      </c>
      <c r="I45" s="1" t="s">
        <v>153</v>
      </c>
      <c r="J45" s="1" t="str">
        <f aca="false">IF(ABS(G45-2081676)&lt;=0.01,"PASS","CHECK")</f>
        <v>PASS</v>
      </c>
    </row>
    <row r="46" customFormat="false" ht="15" hidden="false" customHeight="true" outlineLevel="0" collapsed="false">
      <c r="A46" s="1" t="s">
        <v>65</v>
      </c>
      <c r="B46" s="1" t="n">
        <v>0</v>
      </c>
      <c r="C46" s="1" t="n">
        <v>41</v>
      </c>
      <c r="D46" s="7" t="n">
        <v>45870</v>
      </c>
      <c r="E46" s="6" t="n">
        <f aca="false">G45</f>
        <v>2081675.99565976</v>
      </c>
      <c r="F46" s="6" t="n">
        <f aca="false">MIN(E46,ROUND(03_Initial_Recognition!$I$6/H46,2))</f>
        <v>104083.8</v>
      </c>
      <c r="G46" s="6" t="n">
        <f aca="false">MAX(0,E46-F46)</f>
        <v>1977592.19565976</v>
      </c>
      <c r="H46" s="1" t="n">
        <f aca="false">DATEDIF(01_Lease_Master!$D$6,01_Lease_Master!$AJ$6,"m")+IF(DAY(01_Lease_Master!$AJ$6)&gt;=DAY(01_Lease_Master!$D$6),1,0)</f>
        <v>60</v>
      </c>
      <c r="I46" s="1" t="s">
        <v>153</v>
      </c>
      <c r="J46" s="1" t="str">
        <f aca="false">IF(ABS(G46-1977592.2)&lt;=0.01,"PASS","CHECK")</f>
        <v>PASS</v>
      </c>
    </row>
    <row r="47" customFormat="false" ht="15" hidden="false" customHeight="true" outlineLevel="0" collapsed="false">
      <c r="A47" s="1" t="s">
        <v>65</v>
      </c>
      <c r="B47" s="1" t="n">
        <v>0</v>
      </c>
      <c r="C47" s="1" t="n">
        <v>42</v>
      </c>
      <c r="D47" s="7" t="n">
        <v>45901</v>
      </c>
      <c r="E47" s="6" t="n">
        <f aca="false">G46</f>
        <v>1977592.19565976</v>
      </c>
      <c r="F47" s="6" t="n">
        <f aca="false">MIN(E47,ROUND(03_Initial_Recognition!$I$6/H47,2))</f>
        <v>104083.8</v>
      </c>
      <c r="G47" s="6" t="n">
        <f aca="false">MAX(0,E47-F47)</f>
        <v>1873508.39565976</v>
      </c>
      <c r="H47" s="1" t="n">
        <f aca="false">DATEDIF(01_Lease_Master!$D$6,01_Lease_Master!$AJ$6,"m")+IF(DAY(01_Lease_Master!$AJ$6)&gt;=DAY(01_Lease_Master!$D$6),1,0)</f>
        <v>60</v>
      </c>
      <c r="I47" s="1" t="s">
        <v>153</v>
      </c>
      <c r="J47" s="1" t="str">
        <f aca="false">IF(ABS(G47-1873508.4)&lt;=0.01,"PASS","CHECK")</f>
        <v>PASS</v>
      </c>
    </row>
    <row r="48" customFormat="false" ht="15" hidden="false" customHeight="true" outlineLevel="0" collapsed="false">
      <c r="A48" s="1" t="s">
        <v>65</v>
      </c>
      <c r="B48" s="1" t="n">
        <v>0</v>
      </c>
      <c r="C48" s="1" t="n">
        <v>43</v>
      </c>
      <c r="D48" s="7" t="n">
        <v>45931</v>
      </c>
      <c r="E48" s="6" t="n">
        <f aca="false">G47</f>
        <v>1873508.39565976</v>
      </c>
      <c r="F48" s="6" t="n">
        <f aca="false">MIN(E48,ROUND(03_Initial_Recognition!$I$6/H48,2))</f>
        <v>104083.8</v>
      </c>
      <c r="G48" s="6" t="n">
        <f aca="false">MAX(0,E48-F48)</f>
        <v>1769424.59565976</v>
      </c>
      <c r="H48" s="1" t="n">
        <f aca="false">DATEDIF(01_Lease_Master!$D$6,01_Lease_Master!$AJ$6,"m")+IF(DAY(01_Lease_Master!$AJ$6)&gt;=DAY(01_Lease_Master!$D$6),1,0)</f>
        <v>60</v>
      </c>
      <c r="I48" s="1" t="s">
        <v>153</v>
      </c>
      <c r="J48" s="1" t="str">
        <f aca="false">IF(ABS(G48-1769424.6)&lt;=0.01,"PASS","CHECK")</f>
        <v>PASS</v>
      </c>
    </row>
    <row r="49" customFormat="false" ht="15" hidden="false" customHeight="true" outlineLevel="0" collapsed="false">
      <c r="A49" s="1" t="s">
        <v>65</v>
      </c>
      <c r="B49" s="1" t="n">
        <v>0</v>
      </c>
      <c r="C49" s="1" t="n">
        <v>44</v>
      </c>
      <c r="D49" s="7" t="n">
        <v>45962</v>
      </c>
      <c r="E49" s="6" t="n">
        <f aca="false">G48</f>
        <v>1769424.59565976</v>
      </c>
      <c r="F49" s="6" t="n">
        <f aca="false">MIN(E49,ROUND(03_Initial_Recognition!$I$6/H49,2))</f>
        <v>104083.8</v>
      </c>
      <c r="G49" s="6" t="n">
        <f aca="false">MAX(0,E49-F49)</f>
        <v>1665340.79565976</v>
      </c>
      <c r="H49" s="1" t="n">
        <f aca="false">DATEDIF(01_Lease_Master!$D$6,01_Lease_Master!$AJ$6,"m")+IF(DAY(01_Lease_Master!$AJ$6)&gt;=DAY(01_Lease_Master!$D$6),1,0)</f>
        <v>60</v>
      </c>
      <c r="I49" s="1" t="s">
        <v>153</v>
      </c>
      <c r="J49" s="1" t="str">
        <f aca="false">IF(ABS(G49-1665340.8)&lt;=0.01,"PASS","CHECK")</f>
        <v>PASS</v>
      </c>
    </row>
    <row r="50" customFormat="false" ht="15" hidden="false" customHeight="true" outlineLevel="0" collapsed="false">
      <c r="A50" s="1" t="s">
        <v>65</v>
      </c>
      <c r="B50" s="1" t="n">
        <v>0</v>
      </c>
      <c r="C50" s="1" t="n">
        <v>45</v>
      </c>
      <c r="D50" s="7" t="n">
        <v>45992</v>
      </c>
      <c r="E50" s="6" t="n">
        <f aca="false">G49</f>
        <v>1665340.79565976</v>
      </c>
      <c r="F50" s="6" t="n">
        <f aca="false">MIN(E50,ROUND(03_Initial_Recognition!$I$6/H50,2))</f>
        <v>104083.8</v>
      </c>
      <c r="G50" s="6" t="n">
        <f aca="false">MAX(0,E50-F50)</f>
        <v>1561256.99565976</v>
      </c>
      <c r="H50" s="1" t="n">
        <f aca="false">DATEDIF(01_Lease_Master!$D$6,01_Lease_Master!$AJ$6,"m")+IF(DAY(01_Lease_Master!$AJ$6)&gt;=DAY(01_Lease_Master!$D$6),1,0)</f>
        <v>60</v>
      </c>
      <c r="I50" s="1" t="s">
        <v>153</v>
      </c>
      <c r="J50" s="1" t="str">
        <f aca="false">IF(ABS(G50-1561257)&lt;=0.01,"PASS","CHECK")</f>
        <v>PASS</v>
      </c>
    </row>
    <row r="51" customFormat="false" ht="15" hidden="false" customHeight="true" outlineLevel="0" collapsed="false">
      <c r="A51" s="1" t="s">
        <v>65</v>
      </c>
      <c r="B51" s="1" t="n">
        <v>0</v>
      </c>
      <c r="C51" s="1" t="n">
        <v>46</v>
      </c>
      <c r="D51" s="7" t="n">
        <v>46023</v>
      </c>
      <c r="E51" s="6" t="n">
        <f aca="false">G50</f>
        <v>1561256.99565976</v>
      </c>
      <c r="F51" s="6" t="n">
        <f aca="false">MIN(E51,ROUND(03_Initial_Recognition!$I$6/H51,2))</f>
        <v>104083.8</v>
      </c>
      <c r="G51" s="6" t="n">
        <f aca="false">MAX(0,E51-F51)</f>
        <v>1457173.19565976</v>
      </c>
      <c r="H51" s="1" t="n">
        <f aca="false">DATEDIF(01_Lease_Master!$D$6,01_Lease_Master!$AJ$6,"m")+IF(DAY(01_Lease_Master!$AJ$6)&gt;=DAY(01_Lease_Master!$D$6),1,0)</f>
        <v>60</v>
      </c>
      <c r="I51" s="1" t="s">
        <v>153</v>
      </c>
      <c r="J51" s="1" t="str">
        <f aca="false">IF(ABS(G51-1457173.2)&lt;=0.01,"PASS","CHECK")</f>
        <v>PASS</v>
      </c>
    </row>
    <row r="52" customFormat="false" ht="15" hidden="false" customHeight="true" outlineLevel="0" collapsed="false">
      <c r="A52" s="1" t="s">
        <v>65</v>
      </c>
      <c r="B52" s="1" t="n">
        <v>0</v>
      </c>
      <c r="C52" s="1" t="n">
        <v>47</v>
      </c>
      <c r="D52" s="7" t="n">
        <v>46054</v>
      </c>
      <c r="E52" s="6" t="n">
        <f aca="false">G51</f>
        <v>1457173.19565976</v>
      </c>
      <c r="F52" s="6" t="n">
        <f aca="false">MIN(E52,ROUND(03_Initial_Recognition!$I$6/H52,2))</f>
        <v>104083.8</v>
      </c>
      <c r="G52" s="6" t="n">
        <f aca="false">MAX(0,E52-F52)</f>
        <v>1353089.39565976</v>
      </c>
      <c r="H52" s="1" t="n">
        <f aca="false">DATEDIF(01_Lease_Master!$D$6,01_Lease_Master!$AJ$6,"m")+IF(DAY(01_Lease_Master!$AJ$6)&gt;=DAY(01_Lease_Master!$D$6),1,0)</f>
        <v>60</v>
      </c>
      <c r="I52" s="1" t="s">
        <v>153</v>
      </c>
      <c r="J52" s="1" t="str">
        <f aca="false">IF(ABS(G52-1353089.4)&lt;=0.01,"PASS","CHECK")</f>
        <v>PASS</v>
      </c>
    </row>
    <row r="53" customFormat="false" ht="15" hidden="false" customHeight="true" outlineLevel="0" collapsed="false">
      <c r="A53" s="1" t="s">
        <v>65</v>
      </c>
      <c r="B53" s="1" t="n">
        <v>0</v>
      </c>
      <c r="C53" s="1" t="n">
        <v>48</v>
      </c>
      <c r="D53" s="7" t="n">
        <v>46082</v>
      </c>
      <c r="E53" s="6" t="n">
        <f aca="false">G52</f>
        <v>1353089.39565976</v>
      </c>
      <c r="F53" s="6" t="n">
        <f aca="false">MIN(E53,ROUND(03_Initial_Recognition!$I$6/H53,2))</f>
        <v>104083.8</v>
      </c>
      <c r="G53" s="6" t="n">
        <f aca="false">MAX(0,E53-F53)</f>
        <v>1249005.59565976</v>
      </c>
      <c r="H53" s="1" t="n">
        <f aca="false">DATEDIF(01_Lease_Master!$D$6,01_Lease_Master!$AJ$6,"m")+IF(DAY(01_Lease_Master!$AJ$6)&gt;=DAY(01_Lease_Master!$D$6),1,0)</f>
        <v>60</v>
      </c>
      <c r="I53" s="1" t="s">
        <v>153</v>
      </c>
      <c r="J53" s="1" t="str">
        <f aca="false">IF(ABS(G53-1249005.6)&lt;=0.01,"PASS","CHECK")</f>
        <v>PASS</v>
      </c>
    </row>
    <row r="54" customFormat="false" ht="15" hidden="false" customHeight="true" outlineLevel="0" collapsed="false">
      <c r="A54" s="1" t="s">
        <v>65</v>
      </c>
      <c r="B54" s="1" t="n">
        <v>0</v>
      </c>
      <c r="C54" s="1" t="n">
        <v>49</v>
      </c>
      <c r="D54" s="7" t="n">
        <v>46113</v>
      </c>
      <c r="E54" s="6" t="n">
        <f aca="false">G53</f>
        <v>1249005.59565976</v>
      </c>
      <c r="F54" s="6" t="n">
        <f aca="false">MIN(E54,ROUND(03_Initial_Recognition!$I$6/H54,2))</f>
        <v>104083.8</v>
      </c>
      <c r="G54" s="6" t="n">
        <f aca="false">MAX(0,E54-F54)</f>
        <v>1144921.79565976</v>
      </c>
      <c r="H54" s="1" t="n">
        <f aca="false">DATEDIF(01_Lease_Master!$D$6,01_Lease_Master!$AJ$6,"m")+IF(DAY(01_Lease_Master!$AJ$6)&gt;=DAY(01_Lease_Master!$D$6),1,0)</f>
        <v>60</v>
      </c>
      <c r="I54" s="1" t="s">
        <v>153</v>
      </c>
      <c r="J54" s="1" t="str">
        <f aca="false">IF(ABS(G54-1144921.8)&lt;=0.01,"PASS","CHECK")</f>
        <v>PASS</v>
      </c>
    </row>
    <row r="55" customFormat="false" ht="15" hidden="false" customHeight="true" outlineLevel="0" collapsed="false">
      <c r="A55" s="1" t="s">
        <v>65</v>
      </c>
      <c r="B55" s="1" t="n">
        <v>0</v>
      </c>
      <c r="C55" s="1" t="n">
        <v>50</v>
      </c>
      <c r="D55" s="7" t="n">
        <v>46143</v>
      </c>
      <c r="E55" s="6" t="n">
        <f aca="false">G54</f>
        <v>1144921.79565976</v>
      </c>
      <c r="F55" s="6" t="n">
        <f aca="false">MIN(E55,ROUND(03_Initial_Recognition!$I$6/H55,2))</f>
        <v>104083.8</v>
      </c>
      <c r="G55" s="6" t="n">
        <f aca="false">MAX(0,E55-F55)</f>
        <v>1040837.99565976</v>
      </c>
      <c r="H55" s="1" t="n">
        <f aca="false">DATEDIF(01_Lease_Master!$D$6,01_Lease_Master!$AJ$6,"m")+IF(DAY(01_Lease_Master!$AJ$6)&gt;=DAY(01_Lease_Master!$D$6),1,0)</f>
        <v>60</v>
      </c>
      <c r="I55" s="1" t="s">
        <v>153</v>
      </c>
      <c r="J55" s="1" t="str">
        <f aca="false">IF(ABS(G55-1040838)&lt;=0.01,"PASS","CHECK")</f>
        <v>PASS</v>
      </c>
    </row>
    <row r="56" customFormat="false" ht="15" hidden="false" customHeight="true" outlineLevel="0" collapsed="false">
      <c r="A56" s="1" t="s">
        <v>65</v>
      </c>
      <c r="B56" s="1" t="n">
        <v>0</v>
      </c>
      <c r="C56" s="1" t="n">
        <v>51</v>
      </c>
      <c r="D56" s="7" t="n">
        <v>46174</v>
      </c>
      <c r="E56" s="6" t="n">
        <f aca="false">G55</f>
        <v>1040837.99565976</v>
      </c>
      <c r="F56" s="6" t="n">
        <f aca="false">MIN(E56,ROUND(03_Initial_Recognition!$I$6/H56,2))</f>
        <v>104083.8</v>
      </c>
      <c r="G56" s="6" t="n">
        <f aca="false">MAX(0,E56-F56)</f>
        <v>936754.195659762</v>
      </c>
      <c r="H56" s="1" t="n">
        <f aca="false">DATEDIF(01_Lease_Master!$D$6,01_Lease_Master!$AJ$6,"m")+IF(DAY(01_Lease_Master!$AJ$6)&gt;=DAY(01_Lease_Master!$D$6),1,0)</f>
        <v>60</v>
      </c>
      <c r="I56" s="1" t="s">
        <v>153</v>
      </c>
      <c r="J56" s="1" t="str">
        <f aca="false">IF(ABS(G56-936754.2)&lt;=0.01,"PASS","CHECK")</f>
        <v>PASS</v>
      </c>
    </row>
    <row r="57" customFormat="false" ht="15" hidden="false" customHeight="true" outlineLevel="0" collapsed="false">
      <c r="A57" s="1" t="s">
        <v>65</v>
      </c>
      <c r="B57" s="1" t="n">
        <v>0</v>
      </c>
      <c r="C57" s="1" t="n">
        <v>52</v>
      </c>
      <c r="D57" s="7" t="n">
        <v>46204</v>
      </c>
      <c r="E57" s="6" t="n">
        <f aca="false">G56</f>
        <v>936754.195659762</v>
      </c>
      <c r="F57" s="6" t="n">
        <f aca="false">MIN(E57,ROUND(03_Initial_Recognition!$I$6/H57,2))</f>
        <v>104083.8</v>
      </c>
      <c r="G57" s="6" t="n">
        <f aca="false">MAX(0,E57-F57)</f>
        <v>832670.395659762</v>
      </c>
      <c r="H57" s="1" t="n">
        <f aca="false">DATEDIF(01_Lease_Master!$D$6,01_Lease_Master!$AJ$6,"m")+IF(DAY(01_Lease_Master!$AJ$6)&gt;=DAY(01_Lease_Master!$D$6),1,0)</f>
        <v>60</v>
      </c>
      <c r="I57" s="1" t="s">
        <v>153</v>
      </c>
      <c r="J57" s="1" t="str">
        <f aca="false">IF(ABS(G57-832670.4)&lt;=0.01,"PASS","CHECK")</f>
        <v>PASS</v>
      </c>
    </row>
    <row r="58" customFormat="false" ht="15" hidden="false" customHeight="true" outlineLevel="0" collapsed="false">
      <c r="A58" s="1" t="s">
        <v>65</v>
      </c>
      <c r="B58" s="1" t="n">
        <v>0</v>
      </c>
      <c r="C58" s="1" t="n">
        <v>53</v>
      </c>
      <c r="D58" s="7" t="n">
        <v>46235</v>
      </c>
      <c r="E58" s="6" t="n">
        <f aca="false">G57</f>
        <v>832670.395659762</v>
      </c>
      <c r="F58" s="6" t="n">
        <f aca="false">MIN(E58,ROUND(03_Initial_Recognition!$I$6/H58,2))</f>
        <v>104083.8</v>
      </c>
      <c r="G58" s="6" t="n">
        <f aca="false">MAX(0,E58-F58)</f>
        <v>728586.595659762</v>
      </c>
      <c r="H58" s="1" t="n">
        <f aca="false">DATEDIF(01_Lease_Master!$D$6,01_Lease_Master!$AJ$6,"m")+IF(DAY(01_Lease_Master!$AJ$6)&gt;=DAY(01_Lease_Master!$D$6),1,0)</f>
        <v>60</v>
      </c>
      <c r="I58" s="1" t="s">
        <v>153</v>
      </c>
      <c r="J58" s="1" t="str">
        <f aca="false">IF(ABS(G58-728586.6)&lt;=0.01,"PASS","CHECK")</f>
        <v>PASS</v>
      </c>
    </row>
    <row r="59" customFormat="false" ht="15" hidden="false" customHeight="true" outlineLevel="0" collapsed="false">
      <c r="A59" s="1" t="s">
        <v>65</v>
      </c>
      <c r="B59" s="1" t="n">
        <v>0</v>
      </c>
      <c r="C59" s="1" t="n">
        <v>54</v>
      </c>
      <c r="D59" s="7" t="n">
        <v>46266</v>
      </c>
      <c r="E59" s="6" t="n">
        <f aca="false">G58</f>
        <v>728586.595659762</v>
      </c>
      <c r="F59" s="6" t="n">
        <f aca="false">MIN(E59,ROUND(03_Initial_Recognition!$I$6/H59,2))</f>
        <v>104083.8</v>
      </c>
      <c r="G59" s="6" t="n">
        <f aca="false">MAX(0,E59-F59)</f>
        <v>624502.795659762</v>
      </c>
      <c r="H59" s="1" t="n">
        <f aca="false">DATEDIF(01_Lease_Master!$D$6,01_Lease_Master!$AJ$6,"m")+IF(DAY(01_Lease_Master!$AJ$6)&gt;=DAY(01_Lease_Master!$D$6),1,0)</f>
        <v>60</v>
      </c>
      <c r="I59" s="1" t="s">
        <v>153</v>
      </c>
      <c r="J59" s="1" t="str">
        <f aca="false">IF(ABS(G59-624502.8)&lt;=0.01,"PASS","CHECK")</f>
        <v>PASS</v>
      </c>
    </row>
    <row r="60" customFormat="false" ht="15" hidden="false" customHeight="true" outlineLevel="0" collapsed="false">
      <c r="A60" s="1" t="s">
        <v>65</v>
      </c>
      <c r="B60" s="1" t="s">
        <v>145</v>
      </c>
      <c r="C60" s="1" t="s">
        <v>145</v>
      </c>
      <c r="D60" s="7" t="n">
        <v>46271</v>
      </c>
      <c r="G60" s="6" t="n">
        <f aca="false">IFERROR(LOOKUP(2,1/(A$6:A59=A60),G$6:G59),SUMIF(03_Initial_Recognition!A:A,A60,03_Initial_Recognition!I:I))</f>
        <v>624502.795659762</v>
      </c>
      <c r="J60" s="1" t="str">
        <f aca="false">IF(ABS(G60-624502.8)&lt;=0.01,"PASS","CHECK")</f>
        <v>PASS</v>
      </c>
    </row>
    <row r="61" customFormat="false" ht="15" hidden="false" customHeight="true" outlineLevel="0" collapsed="false">
      <c r="A61" s="1" t="s">
        <v>74</v>
      </c>
      <c r="B61" s="1" t="n">
        <v>0</v>
      </c>
      <c r="C61" s="1" t="n">
        <v>1</v>
      </c>
      <c r="D61" s="7" t="n">
        <v>45292</v>
      </c>
      <c r="E61" s="6" t="n">
        <f aca="false">03_Initial_Recognition!$I$7</f>
        <v>9439170.36803028</v>
      </c>
      <c r="F61" s="6" t="n">
        <f aca="false">MIN(E61,ROUND(03_Initial_Recognition!$I$7/H61,2))</f>
        <v>131099.59</v>
      </c>
      <c r="G61" s="6" t="n">
        <f aca="false">MAX(0,E61-F61)</f>
        <v>9308070.77803028</v>
      </c>
      <c r="H61" s="1" t="n">
        <f aca="false">DATEDIF(01_Lease_Master!$D$7,01_Lease_Master!$AJ$7,"m")+IF(DAY(01_Lease_Master!$AJ$7)&gt;=DAY(01_Lease_Master!$D$7),1,0)</f>
        <v>72</v>
      </c>
      <c r="I61" s="1" t="s">
        <v>153</v>
      </c>
      <c r="J61" s="1" t="str">
        <f aca="false">IF(ABS(G61-9308070.78)&lt;=0.01,"PASS","CHECK")</f>
        <v>PASS</v>
      </c>
    </row>
    <row r="62" customFormat="false" ht="15" hidden="false" customHeight="true" outlineLevel="0" collapsed="false">
      <c r="A62" s="1" t="s">
        <v>74</v>
      </c>
      <c r="B62" s="1" t="n">
        <v>0</v>
      </c>
      <c r="C62" s="1" t="n">
        <v>2</v>
      </c>
      <c r="D62" s="7" t="n">
        <v>45323</v>
      </c>
      <c r="E62" s="6" t="n">
        <f aca="false">G61</f>
        <v>9308070.77803028</v>
      </c>
      <c r="F62" s="6" t="n">
        <f aca="false">MIN(E62,ROUND(03_Initial_Recognition!$I$7/H62,2))</f>
        <v>131099.59</v>
      </c>
      <c r="G62" s="6" t="n">
        <f aca="false">MAX(0,E62-F62)</f>
        <v>9176971.18803028</v>
      </c>
      <c r="H62" s="1" t="n">
        <f aca="false">DATEDIF(01_Lease_Master!$D$7,01_Lease_Master!$AJ$7,"m")+IF(DAY(01_Lease_Master!$AJ$7)&gt;=DAY(01_Lease_Master!$D$7),1,0)</f>
        <v>72</v>
      </c>
      <c r="I62" s="1" t="s">
        <v>153</v>
      </c>
      <c r="J62" s="1" t="str">
        <f aca="false">IF(ABS(G62-9176971.19)&lt;=0.01,"PASS","CHECK")</f>
        <v>PASS</v>
      </c>
    </row>
    <row r="63" customFormat="false" ht="15" hidden="false" customHeight="true" outlineLevel="0" collapsed="false">
      <c r="A63" s="1" t="s">
        <v>74</v>
      </c>
      <c r="B63" s="1" t="n">
        <v>0</v>
      </c>
      <c r="C63" s="1" t="n">
        <v>3</v>
      </c>
      <c r="D63" s="7" t="n">
        <v>45352</v>
      </c>
      <c r="E63" s="6" t="n">
        <f aca="false">G62</f>
        <v>9176971.18803028</v>
      </c>
      <c r="F63" s="6" t="n">
        <f aca="false">MIN(E63,ROUND(03_Initial_Recognition!$I$7/H63,2))</f>
        <v>131099.59</v>
      </c>
      <c r="G63" s="6" t="n">
        <f aca="false">MAX(0,E63-F63)</f>
        <v>9045871.59803028</v>
      </c>
      <c r="H63" s="1" t="n">
        <f aca="false">DATEDIF(01_Lease_Master!$D$7,01_Lease_Master!$AJ$7,"m")+IF(DAY(01_Lease_Master!$AJ$7)&gt;=DAY(01_Lease_Master!$D$7),1,0)</f>
        <v>72</v>
      </c>
      <c r="I63" s="1" t="s">
        <v>153</v>
      </c>
      <c r="J63" s="1" t="str">
        <f aca="false">IF(ABS(G63-9045871.6)&lt;=0.01,"PASS","CHECK")</f>
        <v>PASS</v>
      </c>
    </row>
    <row r="64" customFormat="false" ht="15" hidden="false" customHeight="true" outlineLevel="0" collapsed="false">
      <c r="A64" s="1" t="s">
        <v>74</v>
      </c>
      <c r="B64" s="1" t="n">
        <v>0</v>
      </c>
      <c r="C64" s="1" t="n">
        <v>4</v>
      </c>
      <c r="D64" s="7" t="n">
        <v>45383</v>
      </c>
      <c r="E64" s="6" t="n">
        <f aca="false">G63</f>
        <v>9045871.59803028</v>
      </c>
      <c r="F64" s="6" t="n">
        <f aca="false">MIN(E64,ROUND(03_Initial_Recognition!$I$7/H64,2))</f>
        <v>131099.59</v>
      </c>
      <c r="G64" s="6" t="n">
        <f aca="false">MAX(0,E64-F64)</f>
        <v>8914772.00803028</v>
      </c>
      <c r="H64" s="1" t="n">
        <f aca="false">DATEDIF(01_Lease_Master!$D$7,01_Lease_Master!$AJ$7,"m")+IF(DAY(01_Lease_Master!$AJ$7)&gt;=DAY(01_Lease_Master!$D$7),1,0)</f>
        <v>72</v>
      </c>
      <c r="I64" s="1" t="s">
        <v>153</v>
      </c>
      <c r="J64" s="1" t="str">
        <f aca="false">IF(ABS(G64-8914772.01)&lt;=0.01,"PASS","CHECK")</f>
        <v>PASS</v>
      </c>
    </row>
    <row r="65" customFormat="false" ht="15" hidden="false" customHeight="true" outlineLevel="0" collapsed="false">
      <c r="A65" s="1" t="s">
        <v>74</v>
      </c>
      <c r="B65" s="1" t="n">
        <v>0</v>
      </c>
      <c r="C65" s="1" t="n">
        <v>5</v>
      </c>
      <c r="D65" s="7" t="n">
        <v>45413</v>
      </c>
      <c r="E65" s="6" t="n">
        <f aca="false">G64</f>
        <v>8914772.00803028</v>
      </c>
      <c r="F65" s="6" t="n">
        <f aca="false">MIN(E65,ROUND(03_Initial_Recognition!$I$7/H65,2))</f>
        <v>131099.59</v>
      </c>
      <c r="G65" s="6" t="n">
        <f aca="false">MAX(0,E65-F65)</f>
        <v>8783672.41803028</v>
      </c>
      <c r="H65" s="1" t="n">
        <f aca="false">DATEDIF(01_Lease_Master!$D$7,01_Lease_Master!$AJ$7,"m")+IF(DAY(01_Lease_Master!$AJ$7)&gt;=DAY(01_Lease_Master!$D$7),1,0)</f>
        <v>72</v>
      </c>
      <c r="I65" s="1" t="s">
        <v>153</v>
      </c>
      <c r="J65" s="1" t="str">
        <f aca="false">IF(ABS(G65-8783672.42)&lt;=0.01,"PASS","CHECK")</f>
        <v>PASS</v>
      </c>
    </row>
    <row r="66" customFormat="false" ht="15" hidden="false" customHeight="true" outlineLevel="0" collapsed="false">
      <c r="A66" s="1" t="s">
        <v>74</v>
      </c>
      <c r="B66" s="1" t="n">
        <v>0</v>
      </c>
      <c r="C66" s="1" t="n">
        <v>6</v>
      </c>
      <c r="D66" s="7" t="n">
        <v>45444</v>
      </c>
      <c r="E66" s="6" t="n">
        <f aca="false">G65</f>
        <v>8783672.41803028</v>
      </c>
      <c r="F66" s="6" t="n">
        <f aca="false">MIN(E66,ROUND(03_Initial_Recognition!$I$7/H66,2))</f>
        <v>131099.59</v>
      </c>
      <c r="G66" s="6" t="n">
        <f aca="false">MAX(0,E66-F66)</f>
        <v>8652572.82803028</v>
      </c>
      <c r="H66" s="1" t="n">
        <f aca="false">DATEDIF(01_Lease_Master!$D$7,01_Lease_Master!$AJ$7,"m")+IF(DAY(01_Lease_Master!$AJ$7)&gt;=DAY(01_Lease_Master!$D$7),1,0)</f>
        <v>72</v>
      </c>
      <c r="I66" s="1" t="s">
        <v>153</v>
      </c>
      <c r="J66" s="1" t="str">
        <f aca="false">IF(ABS(G66-8652572.83)&lt;=0.01,"PASS","CHECK")</f>
        <v>PASS</v>
      </c>
    </row>
    <row r="67" customFormat="false" ht="15" hidden="false" customHeight="true" outlineLevel="0" collapsed="false">
      <c r="A67" s="1" t="s">
        <v>74</v>
      </c>
      <c r="B67" s="1" t="n">
        <v>0</v>
      </c>
      <c r="C67" s="1" t="n">
        <v>7</v>
      </c>
      <c r="D67" s="7" t="n">
        <v>45474</v>
      </c>
      <c r="E67" s="6" t="n">
        <f aca="false">G66</f>
        <v>8652572.82803028</v>
      </c>
      <c r="F67" s="6" t="n">
        <f aca="false">MIN(E67,ROUND(03_Initial_Recognition!$I$7/H67,2))</f>
        <v>131099.59</v>
      </c>
      <c r="G67" s="6" t="n">
        <f aca="false">MAX(0,E67-F67)</f>
        <v>8521473.23803028</v>
      </c>
      <c r="H67" s="1" t="n">
        <f aca="false">DATEDIF(01_Lease_Master!$D$7,01_Lease_Master!$AJ$7,"m")+IF(DAY(01_Lease_Master!$AJ$7)&gt;=DAY(01_Lease_Master!$D$7),1,0)</f>
        <v>72</v>
      </c>
      <c r="I67" s="1" t="s">
        <v>153</v>
      </c>
      <c r="J67" s="1" t="str">
        <f aca="false">IF(ABS(G67-8521473.24)&lt;=0.01,"PASS","CHECK")</f>
        <v>PASS</v>
      </c>
    </row>
    <row r="68" customFormat="false" ht="15" hidden="false" customHeight="true" outlineLevel="0" collapsed="false">
      <c r="A68" s="1" t="s">
        <v>74</v>
      </c>
      <c r="B68" s="1" t="n">
        <v>0</v>
      </c>
      <c r="C68" s="1" t="n">
        <v>8</v>
      </c>
      <c r="D68" s="7" t="n">
        <v>45505</v>
      </c>
      <c r="E68" s="6" t="n">
        <f aca="false">G67</f>
        <v>8521473.23803028</v>
      </c>
      <c r="F68" s="6" t="n">
        <f aca="false">MIN(E68,ROUND(03_Initial_Recognition!$I$7/H68,2))</f>
        <v>131099.59</v>
      </c>
      <c r="G68" s="6" t="n">
        <f aca="false">MAX(0,E68-F68)</f>
        <v>8390373.64803028</v>
      </c>
      <c r="H68" s="1" t="n">
        <f aca="false">DATEDIF(01_Lease_Master!$D$7,01_Lease_Master!$AJ$7,"m")+IF(DAY(01_Lease_Master!$AJ$7)&gt;=DAY(01_Lease_Master!$D$7),1,0)</f>
        <v>72</v>
      </c>
      <c r="I68" s="1" t="s">
        <v>153</v>
      </c>
      <c r="J68" s="1" t="str">
        <f aca="false">IF(ABS(G68-8390373.65)&lt;=0.01,"PASS","CHECK")</f>
        <v>PASS</v>
      </c>
    </row>
    <row r="69" customFormat="false" ht="15" hidden="false" customHeight="true" outlineLevel="0" collapsed="false">
      <c r="A69" s="1" t="s">
        <v>74</v>
      </c>
      <c r="B69" s="1" t="n">
        <v>0</v>
      </c>
      <c r="C69" s="1" t="n">
        <v>9</v>
      </c>
      <c r="D69" s="7" t="n">
        <v>45536</v>
      </c>
      <c r="E69" s="6" t="n">
        <f aca="false">G68</f>
        <v>8390373.64803028</v>
      </c>
      <c r="F69" s="6" t="n">
        <f aca="false">MIN(E69,ROUND(03_Initial_Recognition!$I$7/H69,2))</f>
        <v>131099.59</v>
      </c>
      <c r="G69" s="6" t="n">
        <f aca="false">MAX(0,E69-F69)</f>
        <v>8259274.05803028</v>
      </c>
      <c r="H69" s="1" t="n">
        <f aca="false">DATEDIF(01_Lease_Master!$D$7,01_Lease_Master!$AJ$7,"m")+IF(DAY(01_Lease_Master!$AJ$7)&gt;=DAY(01_Lease_Master!$D$7),1,0)</f>
        <v>72</v>
      </c>
      <c r="I69" s="1" t="s">
        <v>153</v>
      </c>
      <c r="J69" s="1" t="str">
        <f aca="false">IF(ABS(G69-8259274.06)&lt;=0.01,"PASS","CHECK")</f>
        <v>PASS</v>
      </c>
    </row>
    <row r="70" customFormat="false" ht="15" hidden="false" customHeight="true" outlineLevel="0" collapsed="false">
      <c r="A70" s="1" t="s">
        <v>74</v>
      </c>
      <c r="B70" s="1" t="n">
        <v>0</v>
      </c>
      <c r="C70" s="1" t="n">
        <v>10</v>
      </c>
      <c r="D70" s="7" t="n">
        <v>45566</v>
      </c>
      <c r="E70" s="6" t="n">
        <f aca="false">G69</f>
        <v>8259274.05803028</v>
      </c>
      <c r="F70" s="6" t="n">
        <f aca="false">MIN(E70,ROUND(03_Initial_Recognition!$I$7/H70,2))</f>
        <v>131099.59</v>
      </c>
      <c r="G70" s="6" t="n">
        <f aca="false">MAX(0,E70-F70)</f>
        <v>8128174.46803028</v>
      </c>
      <c r="H70" s="1" t="n">
        <f aca="false">DATEDIF(01_Lease_Master!$D$7,01_Lease_Master!$AJ$7,"m")+IF(DAY(01_Lease_Master!$AJ$7)&gt;=DAY(01_Lease_Master!$D$7),1,0)</f>
        <v>72</v>
      </c>
      <c r="I70" s="1" t="s">
        <v>153</v>
      </c>
      <c r="J70" s="1" t="str">
        <f aca="false">IF(ABS(G70-8128174.47)&lt;=0.01,"PASS","CHECK")</f>
        <v>PASS</v>
      </c>
    </row>
    <row r="71" customFormat="false" ht="15" hidden="false" customHeight="true" outlineLevel="0" collapsed="false">
      <c r="A71" s="1" t="s">
        <v>74</v>
      </c>
      <c r="B71" s="1" t="n">
        <v>0</v>
      </c>
      <c r="C71" s="1" t="n">
        <v>11</v>
      </c>
      <c r="D71" s="7" t="n">
        <v>45597</v>
      </c>
      <c r="E71" s="6" t="n">
        <f aca="false">G70</f>
        <v>8128174.46803028</v>
      </c>
      <c r="F71" s="6" t="n">
        <f aca="false">MIN(E71,ROUND(03_Initial_Recognition!$I$7/H71,2))</f>
        <v>131099.59</v>
      </c>
      <c r="G71" s="6" t="n">
        <f aca="false">MAX(0,E71-F71)</f>
        <v>7997074.87803028</v>
      </c>
      <c r="H71" s="1" t="n">
        <f aca="false">DATEDIF(01_Lease_Master!$D$7,01_Lease_Master!$AJ$7,"m")+IF(DAY(01_Lease_Master!$AJ$7)&gt;=DAY(01_Lease_Master!$D$7),1,0)</f>
        <v>72</v>
      </c>
      <c r="I71" s="1" t="s">
        <v>153</v>
      </c>
      <c r="J71" s="1" t="str">
        <f aca="false">IF(ABS(G71-7997074.88)&lt;=0.01,"PASS","CHECK")</f>
        <v>PASS</v>
      </c>
    </row>
    <row r="72" customFormat="false" ht="15" hidden="false" customHeight="true" outlineLevel="0" collapsed="false">
      <c r="A72" s="1" t="s">
        <v>74</v>
      </c>
      <c r="B72" s="1" t="n">
        <v>0</v>
      </c>
      <c r="C72" s="1" t="n">
        <v>12</v>
      </c>
      <c r="D72" s="7" t="n">
        <v>45627</v>
      </c>
      <c r="E72" s="6" t="n">
        <f aca="false">G71</f>
        <v>7997074.87803028</v>
      </c>
      <c r="F72" s="6" t="n">
        <f aca="false">MIN(E72,ROUND(03_Initial_Recognition!$I$7/H72,2))</f>
        <v>131099.59</v>
      </c>
      <c r="G72" s="6" t="n">
        <f aca="false">MAX(0,E72-F72)</f>
        <v>7865975.28803028</v>
      </c>
      <c r="H72" s="1" t="n">
        <f aca="false">DATEDIF(01_Lease_Master!$D$7,01_Lease_Master!$AJ$7,"m")+IF(DAY(01_Lease_Master!$AJ$7)&gt;=DAY(01_Lease_Master!$D$7),1,0)</f>
        <v>72</v>
      </c>
      <c r="I72" s="1" t="s">
        <v>153</v>
      </c>
      <c r="J72" s="1" t="str">
        <f aca="false">IF(ABS(G72-7865975.29)&lt;=0.01,"PASS","CHECK")</f>
        <v>PASS</v>
      </c>
    </row>
    <row r="73" customFormat="false" ht="15" hidden="false" customHeight="true" outlineLevel="0" collapsed="false">
      <c r="A73" s="1" t="s">
        <v>74</v>
      </c>
      <c r="B73" s="1" t="n">
        <v>0</v>
      </c>
      <c r="C73" s="1" t="n">
        <v>13</v>
      </c>
      <c r="D73" s="7" t="n">
        <v>45658</v>
      </c>
      <c r="E73" s="6" t="n">
        <f aca="false">G72</f>
        <v>7865975.28803028</v>
      </c>
      <c r="F73" s="6" t="n">
        <f aca="false">MIN(E73,ROUND(03_Initial_Recognition!$I$7/H73,2))</f>
        <v>131099.59</v>
      </c>
      <c r="G73" s="6" t="n">
        <f aca="false">MAX(0,E73-F73)</f>
        <v>7734875.69803028</v>
      </c>
      <c r="H73" s="1" t="n">
        <f aca="false">DATEDIF(01_Lease_Master!$D$7,01_Lease_Master!$AJ$7,"m")+IF(DAY(01_Lease_Master!$AJ$7)&gt;=DAY(01_Lease_Master!$D$7),1,0)</f>
        <v>72</v>
      </c>
      <c r="I73" s="1" t="s">
        <v>153</v>
      </c>
      <c r="J73" s="1" t="str">
        <f aca="false">IF(ABS(G73-7734875.7)&lt;=0.01,"PASS","CHECK")</f>
        <v>PASS</v>
      </c>
    </row>
    <row r="74" customFormat="false" ht="15" hidden="false" customHeight="true" outlineLevel="0" collapsed="false">
      <c r="A74" s="1" t="s">
        <v>74</v>
      </c>
      <c r="B74" s="1" t="n">
        <v>0</v>
      </c>
      <c r="C74" s="1" t="n">
        <v>14</v>
      </c>
      <c r="D74" s="7" t="n">
        <v>45689</v>
      </c>
      <c r="E74" s="6" t="n">
        <f aca="false">G73</f>
        <v>7734875.69803028</v>
      </c>
      <c r="F74" s="6" t="n">
        <f aca="false">MIN(E74,ROUND(03_Initial_Recognition!$I$7/H74,2))</f>
        <v>131099.59</v>
      </c>
      <c r="G74" s="6" t="n">
        <f aca="false">MAX(0,E74-F74)</f>
        <v>7603776.10803028</v>
      </c>
      <c r="H74" s="1" t="n">
        <f aca="false">DATEDIF(01_Lease_Master!$D$7,01_Lease_Master!$AJ$7,"m")+IF(DAY(01_Lease_Master!$AJ$7)&gt;=DAY(01_Lease_Master!$D$7),1,0)</f>
        <v>72</v>
      </c>
      <c r="I74" s="1" t="s">
        <v>153</v>
      </c>
      <c r="J74" s="1" t="str">
        <f aca="false">IF(ABS(G74-7603776.11)&lt;=0.01,"PASS","CHECK")</f>
        <v>PASS</v>
      </c>
    </row>
    <row r="75" customFormat="false" ht="15" hidden="false" customHeight="true" outlineLevel="0" collapsed="false">
      <c r="A75" s="1" t="s">
        <v>74</v>
      </c>
      <c r="B75" s="1" t="n">
        <v>0</v>
      </c>
      <c r="C75" s="1" t="n">
        <v>15</v>
      </c>
      <c r="D75" s="7" t="n">
        <v>45717</v>
      </c>
      <c r="E75" s="6" t="n">
        <f aca="false">G74</f>
        <v>7603776.10803028</v>
      </c>
      <c r="F75" s="6" t="n">
        <f aca="false">MIN(E75,ROUND(03_Initial_Recognition!$I$7/H75,2))</f>
        <v>131099.59</v>
      </c>
      <c r="G75" s="6" t="n">
        <f aca="false">MAX(0,E75-F75)</f>
        <v>7472676.51803028</v>
      </c>
      <c r="H75" s="1" t="n">
        <f aca="false">DATEDIF(01_Lease_Master!$D$7,01_Lease_Master!$AJ$7,"m")+IF(DAY(01_Lease_Master!$AJ$7)&gt;=DAY(01_Lease_Master!$D$7),1,0)</f>
        <v>72</v>
      </c>
      <c r="I75" s="1" t="s">
        <v>153</v>
      </c>
      <c r="J75" s="1" t="str">
        <f aca="false">IF(ABS(G75-7472676.52)&lt;=0.01,"PASS","CHECK")</f>
        <v>PASS</v>
      </c>
    </row>
    <row r="76" customFormat="false" ht="15" hidden="false" customHeight="true" outlineLevel="0" collapsed="false">
      <c r="A76" s="1" t="s">
        <v>74</v>
      </c>
      <c r="B76" s="1" t="n">
        <v>0</v>
      </c>
      <c r="C76" s="1" t="n">
        <v>16</v>
      </c>
      <c r="D76" s="7" t="n">
        <v>45748</v>
      </c>
      <c r="E76" s="6" t="n">
        <f aca="false">G75</f>
        <v>7472676.51803028</v>
      </c>
      <c r="F76" s="6" t="n">
        <f aca="false">MIN(E76,ROUND(03_Initial_Recognition!$I$7/H76,2))</f>
        <v>131099.59</v>
      </c>
      <c r="G76" s="6" t="n">
        <f aca="false">MAX(0,E76-F76)</f>
        <v>7341576.92803028</v>
      </c>
      <c r="H76" s="1" t="n">
        <f aca="false">DATEDIF(01_Lease_Master!$D$7,01_Lease_Master!$AJ$7,"m")+IF(DAY(01_Lease_Master!$AJ$7)&gt;=DAY(01_Lease_Master!$D$7),1,0)</f>
        <v>72</v>
      </c>
      <c r="I76" s="1" t="s">
        <v>153</v>
      </c>
      <c r="J76" s="1" t="str">
        <f aca="false">IF(ABS(G76-7341576.93)&lt;=0.01,"PASS","CHECK")</f>
        <v>PASS</v>
      </c>
    </row>
    <row r="77" customFormat="false" ht="15" hidden="false" customHeight="true" outlineLevel="0" collapsed="false">
      <c r="A77" s="1" t="s">
        <v>74</v>
      </c>
      <c r="B77" s="1" t="n">
        <v>0</v>
      </c>
      <c r="C77" s="1" t="n">
        <v>17</v>
      </c>
      <c r="D77" s="7" t="n">
        <v>45778</v>
      </c>
      <c r="E77" s="6" t="n">
        <f aca="false">G76</f>
        <v>7341576.92803028</v>
      </c>
      <c r="F77" s="6" t="n">
        <f aca="false">MIN(E77,ROUND(03_Initial_Recognition!$I$7/H77,2))</f>
        <v>131099.59</v>
      </c>
      <c r="G77" s="6" t="n">
        <f aca="false">MAX(0,E77-F77)</f>
        <v>7210477.33803028</v>
      </c>
      <c r="H77" s="1" t="n">
        <f aca="false">DATEDIF(01_Lease_Master!$D$7,01_Lease_Master!$AJ$7,"m")+IF(DAY(01_Lease_Master!$AJ$7)&gt;=DAY(01_Lease_Master!$D$7),1,0)</f>
        <v>72</v>
      </c>
      <c r="I77" s="1" t="s">
        <v>153</v>
      </c>
      <c r="J77" s="1" t="str">
        <f aca="false">IF(ABS(G77-7210477.34)&lt;=0.01,"PASS","CHECK")</f>
        <v>PASS</v>
      </c>
    </row>
    <row r="78" customFormat="false" ht="15" hidden="false" customHeight="true" outlineLevel="0" collapsed="false">
      <c r="A78" s="1" t="s">
        <v>74</v>
      </c>
      <c r="B78" s="1" t="n">
        <v>0</v>
      </c>
      <c r="C78" s="1" t="n">
        <v>18</v>
      </c>
      <c r="D78" s="7" t="n">
        <v>45809</v>
      </c>
      <c r="E78" s="6" t="n">
        <f aca="false">G77</f>
        <v>7210477.33803028</v>
      </c>
      <c r="F78" s="6" t="n">
        <f aca="false">MIN(E78,ROUND(03_Initial_Recognition!$I$7/H78,2))</f>
        <v>131099.59</v>
      </c>
      <c r="G78" s="6" t="n">
        <f aca="false">MAX(0,E78-F78)</f>
        <v>7079377.74803028</v>
      </c>
      <c r="H78" s="1" t="n">
        <f aca="false">DATEDIF(01_Lease_Master!$D$7,01_Lease_Master!$AJ$7,"m")+IF(DAY(01_Lease_Master!$AJ$7)&gt;=DAY(01_Lease_Master!$D$7),1,0)</f>
        <v>72</v>
      </c>
      <c r="I78" s="1" t="s">
        <v>153</v>
      </c>
      <c r="J78" s="1" t="str">
        <f aca="false">IF(ABS(G78-7079377.75)&lt;=0.01,"PASS","CHECK")</f>
        <v>PASS</v>
      </c>
    </row>
    <row r="79" customFormat="false" ht="15" hidden="false" customHeight="true" outlineLevel="0" collapsed="false">
      <c r="A79" s="1" t="s">
        <v>74</v>
      </c>
      <c r="B79" s="1" t="n">
        <v>0</v>
      </c>
      <c r="C79" s="1" t="n">
        <v>19</v>
      </c>
      <c r="D79" s="7" t="n">
        <v>45839</v>
      </c>
      <c r="E79" s="6" t="n">
        <f aca="false">G78</f>
        <v>7079377.74803028</v>
      </c>
      <c r="F79" s="6" t="n">
        <f aca="false">MIN(E79,ROUND(03_Initial_Recognition!$I$7/H79,2))</f>
        <v>131099.59</v>
      </c>
      <c r="G79" s="6" t="n">
        <f aca="false">MAX(0,E79-F79)</f>
        <v>6948278.15803028</v>
      </c>
      <c r="H79" s="1" t="n">
        <f aca="false">DATEDIF(01_Lease_Master!$D$7,01_Lease_Master!$AJ$7,"m")+IF(DAY(01_Lease_Master!$AJ$7)&gt;=DAY(01_Lease_Master!$D$7),1,0)</f>
        <v>72</v>
      </c>
      <c r="I79" s="1" t="s">
        <v>153</v>
      </c>
      <c r="J79" s="1" t="str">
        <f aca="false">IF(ABS(G79-6948278.16)&lt;=0.01,"PASS","CHECK")</f>
        <v>PASS</v>
      </c>
    </row>
    <row r="80" customFormat="false" ht="15" hidden="false" customHeight="true" outlineLevel="0" collapsed="false">
      <c r="A80" s="1" t="s">
        <v>74</v>
      </c>
      <c r="B80" s="1" t="n">
        <v>0</v>
      </c>
      <c r="C80" s="1" t="n">
        <v>20</v>
      </c>
      <c r="D80" s="7" t="n">
        <v>45870</v>
      </c>
      <c r="E80" s="6" t="n">
        <f aca="false">G79</f>
        <v>6948278.15803028</v>
      </c>
      <c r="F80" s="6" t="n">
        <f aca="false">MIN(E80,ROUND(03_Initial_Recognition!$I$7/H80,2))</f>
        <v>131099.59</v>
      </c>
      <c r="G80" s="6" t="n">
        <f aca="false">MAX(0,E80-F80)</f>
        <v>6817178.56803028</v>
      </c>
      <c r="H80" s="1" t="n">
        <f aca="false">DATEDIF(01_Lease_Master!$D$7,01_Lease_Master!$AJ$7,"m")+IF(DAY(01_Lease_Master!$AJ$7)&gt;=DAY(01_Lease_Master!$D$7),1,0)</f>
        <v>72</v>
      </c>
      <c r="I80" s="1" t="s">
        <v>153</v>
      </c>
      <c r="J80" s="1" t="str">
        <f aca="false">IF(ABS(G80-6817178.57)&lt;=0.01,"PASS","CHECK")</f>
        <v>PASS</v>
      </c>
    </row>
    <row r="81" customFormat="false" ht="15" hidden="false" customHeight="true" outlineLevel="0" collapsed="false">
      <c r="A81" s="1" t="s">
        <v>74</v>
      </c>
      <c r="B81" s="1" t="n">
        <v>0</v>
      </c>
      <c r="C81" s="1" t="n">
        <v>21</v>
      </c>
      <c r="D81" s="7" t="n">
        <v>45901</v>
      </c>
      <c r="E81" s="6" t="n">
        <f aca="false">G80</f>
        <v>6817178.56803028</v>
      </c>
      <c r="F81" s="6" t="n">
        <f aca="false">MIN(E81,ROUND(03_Initial_Recognition!$I$7/H81,2))</f>
        <v>131099.59</v>
      </c>
      <c r="G81" s="6" t="n">
        <f aca="false">MAX(0,E81-F81)</f>
        <v>6686078.97803028</v>
      </c>
      <c r="H81" s="1" t="n">
        <f aca="false">DATEDIF(01_Lease_Master!$D$7,01_Lease_Master!$AJ$7,"m")+IF(DAY(01_Lease_Master!$AJ$7)&gt;=DAY(01_Lease_Master!$D$7),1,0)</f>
        <v>72</v>
      </c>
      <c r="I81" s="1" t="s">
        <v>153</v>
      </c>
      <c r="J81" s="1" t="str">
        <f aca="false">IF(ABS(G81-6686078.98)&lt;=0.01,"PASS","CHECK")</f>
        <v>PASS</v>
      </c>
    </row>
    <row r="82" customFormat="false" ht="15" hidden="false" customHeight="true" outlineLevel="0" collapsed="false">
      <c r="A82" s="1" t="s">
        <v>74</v>
      </c>
      <c r="B82" s="1" t="n">
        <v>0</v>
      </c>
      <c r="C82" s="1" t="n">
        <v>22</v>
      </c>
      <c r="D82" s="7" t="n">
        <v>45931</v>
      </c>
      <c r="E82" s="6" t="n">
        <f aca="false">G81</f>
        <v>6686078.97803028</v>
      </c>
      <c r="F82" s="6" t="n">
        <f aca="false">MIN(E82,ROUND(03_Initial_Recognition!$I$7/H82,2))</f>
        <v>131099.59</v>
      </c>
      <c r="G82" s="6" t="n">
        <f aca="false">MAX(0,E82-F82)</f>
        <v>6554979.38803028</v>
      </c>
      <c r="H82" s="1" t="n">
        <f aca="false">DATEDIF(01_Lease_Master!$D$7,01_Lease_Master!$AJ$7,"m")+IF(DAY(01_Lease_Master!$AJ$7)&gt;=DAY(01_Lease_Master!$D$7),1,0)</f>
        <v>72</v>
      </c>
      <c r="I82" s="1" t="s">
        <v>153</v>
      </c>
      <c r="J82" s="1" t="str">
        <f aca="false">IF(ABS(G82-6554979.39)&lt;=0.01,"PASS","CHECK")</f>
        <v>PASS</v>
      </c>
    </row>
    <row r="83" customFormat="false" ht="15" hidden="false" customHeight="true" outlineLevel="0" collapsed="false">
      <c r="A83" s="1" t="s">
        <v>74</v>
      </c>
      <c r="B83" s="1" t="n">
        <v>0</v>
      </c>
      <c r="C83" s="1" t="n">
        <v>23</v>
      </c>
      <c r="D83" s="7" t="n">
        <v>45962</v>
      </c>
      <c r="E83" s="6" t="n">
        <f aca="false">G82</f>
        <v>6554979.38803028</v>
      </c>
      <c r="F83" s="6" t="n">
        <f aca="false">MIN(E83,ROUND(03_Initial_Recognition!$I$7/H83,2))</f>
        <v>131099.59</v>
      </c>
      <c r="G83" s="6" t="n">
        <f aca="false">MAX(0,E83-F83)</f>
        <v>6423879.79803028</v>
      </c>
      <c r="H83" s="1" t="n">
        <f aca="false">DATEDIF(01_Lease_Master!$D$7,01_Lease_Master!$AJ$7,"m")+IF(DAY(01_Lease_Master!$AJ$7)&gt;=DAY(01_Lease_Master!$D$7),1,0)</f>
        <v>72</v>
      </c>
      <c r="I83" s="1" t="s">
        <v>153</v>
      </c>
      <c r="J83" s="1" t="str">
        <f aca="false">IF(ABS(G83-6423879.8)&lt;=0.01,"PASS","CHECK")</f>
        <v>PASS</v>
      </c>
    </row>
    <row r="84" customFormat="false" ht="15" hidden="false" customHeight="true" outlineLevel="0" collapsed="false">
      <c r="A84" s="1" t="s">
        <v>74</v>
      </c>
      <c r="B84" s="1" t="n">
        <v>0</v>
      </c>
      <c r="C84" s="1" t="n">
        <v>24</v>
      </c>
      <c r="D84" s="7" t="n">
        <v>45992</v>
      </c>
      <c r="E84" s="6" t="n">
        <f aca="false">G83</f>
        <v>6423879.79803028</v>
      </c>
      <c r="F84" s="6" t="n">
        <f aca="false">MIN(E84,ROUND(03_Initial_Recognition!$I$7/H84,2))</f>
        <v>131099.59</v>
      </c>
      <c r="G84" s="6" t="n">
        <f aca="false">MAX(0,E84-F84)</f>
        <v>6292780.20803028</v>
      </c>
      <c r="H84" s="1" t="n">
        <f aca="false">DATEDIF(01_Lease_Master!$D$7,01_Lease_Master!$AJ$7,"m")+IF(DAY(01_Lease_Master!$AJ$7)&gt;=DAY(01_Lease_Master!$D$7),1,0)</f>
        <v>72</v>
      </c>
      <c r="I84" s="1" t="s">
        <v>153</v>
      </c>
      <c r="J84" s="1" t="str">
        <f aca="false">IF(ABS(G84-6292780.21)&lt;=0.01,"PASS","CHECK")</f>
        <v>PASS</v>
      </c>
    </row>
    <row r="85" customFormat="false" ht="15" hidden="false" customHeight="true" outlineLevel="0" collapsed="false">
      <c r="A85" s="1" t="s">
        <v>74</v>
      </c>
      <c r="B85" s="1" t="n">
        <v>0</v>
      </c>
      <c r="C85" s="1" t="n">
        <v>25</v>
      </c>
      <c r="D85" s="7" t="n">
        <v>46023</v>
      </c>
      <c r="E85" s="6" t="n">
        <f aca="false">G84</f>
        <v>6292780.20803028</v>
      </c>
      <c r="F85" s="6" t="n">
        <f aca="false">MIN(E85,ROUND(03_Initial_Recognition!$I$7/H85,2))</f>
        <v>131099.59</v>
      </c>
      <c r="G85" s="6" t="n">
        <f aca="false">MAX(0,E85-F85)</f>
        <v>6161680.61803028</v>
      </c>
      <c r="H85" s="1" t="n">
        <f aca="false">DATEDIF(01_Lease_Master!$D$7,01_Lease_Master!$AJ$7,"m")+IF(DAY(01_Lease_Master!$AJ$7)&gt;=DAY(01_Lease_Master!$D$7),1,0)</f>
        <v>72</v>
      </c>
      <c r="I85" s="1" t="s">
        <v>153</v>
      </c>
      <c r="J85" s="1" t="str">
        <f aca="false">IF(ABS(G85-6161680.62)&lt;=0.01,"PASS","CHECK")</f>
        <v>PASS</v>
      </c>
    </row>
    <row r="86" customFormat="false" ht="15" hidden="false" customHeight="true" outlineLevel="0" collapsed="false">
      <c r="A86" s="1" t="s">
        <v>74</v>
      </c>
      <c r="B86" s="1" t="n">
        <v>0</v>
      </c>
      <c r="C86" s="1" t="n">
        <v>26</v>
      </c>
      <c r="D86" s="7" t="n">
        <v>46054</v>
      </c>
      <c r="E86" s="6" t="n">
        <f aca="false">G85</f>
        <v>6161680.61803028</v>
      </c>
      <c r="F86" s="6" t="n">
        <f aca="false">MIN(E86,ROUND(03_Initial_Recognition!$I$7/H86,2))</f>
        <v>131099.59</v>
      </c>
      <c r="G86" s="6" t="n">
        <f aca="false">MAX(0,E86-F86)</f>
        <v>6030581.02803028</v>
      </c>
      <c r="H86" s="1" t="n">
        <f aca="false">DATEDIF(01_Lease_Master!$D$7,01_Lease_Master!$AJ$7,"m")+IF(DAY(01_Lease_Master!$AJ$7)&gt;=DAY(01_Lease_Master!$D$7),1,0)</f>
        <v>72</v>
      </c>
      <c r="I86" s="1" t="s">
        <v>153</v>
      </c>
      <c r="J86" s="1" t="str">
        <f aca="false">IF(ABS(G86-6030581.03)&lt;=0.01,"PASS","CHECK")</f>
        <v>PASS</v>
      </c>
    </row>
    <row r="87" customFormat="false" ht="15" hidden="false" customHeight="true" outlineLevel="0" collapsed="false">
      <c r="A87" s="1" t="s">
        <v>74</v>
      </c>
      <c r="B87" s="1" t="n">
        <v>0</v>
      </c>
      <c r="C87" s="1" t="n">
        <v>27</v>
      </c>
      <c r="D87" s="7" t="n">
        <v>46082</v>
      </c>
      <c r="E87" s="6" t="n">
        <f aca="false">G86</f>
        <v>6030581.02803028</v>
      </c>
      <c r="F87" s="6" t="n">
        <f aca="false">MIN(E87,ROUND(03_Initial_Recognition!$I$7/H87,2))</f>
        <v>131099.59</v>
      </c>
      <c r="G87" s="6" t="n">
        <f aca="false">MAX(0,E87-F87)</f>
        <v>5899481.43803028</v>
      </c>
      <c r="H87" s="1" t="n">
        <f aca="false">DATEDIF(01_Lease_Master!$D$7,01_Lease_Master!$AJ$7,"m")+IF(DAY(01_Lease_Master!$AJ$7)&gt;=DAY(01_Lease_Master!$D$7),1,0)</f>
        <v>72</v>
      </c>
      <c r="I87" s="1" t="s">
        <v>153</v>
      </c>
      <c r="J87" s="1" t="str">
        <f aca="false">IF(ABS(G87-5899481.44)&lt;=0.01,"PASS","CHECK")</f>
        <v>PASS</v>
      </c>
    </row>
    <row r="88" customFormat="false" ht="15" hidden="false" customHeight="true" outlineLevel="0" collapsed="false">
      <c r="A88" s="1" t="s">
        <v>74</v>
      </c>
      <c r="B88" s="1" t="n">
        <v>0</v>
      </c>
      <c r="C88" s="1" t="n">
        <v>28</v>
      </c>
      <c r="D88" s="7" t="n">
        <v>46113</v>
      </c>
      <c r="E88" s="6" t="n">
        <f aca="false">G87</f>
        <v>5899481.43803028</v>
      </c>
      <c r="F88" s="6" t="n">
        <f aca="false">MIN(E88,ROUND(03_Initial_Recognition!$I$7/H88,2))</f>
        <v>131099.59</v>
      </c>
      <c r="G88" s="6" t="n">
        <f aca="false">MAX(0,E88-F88)</f>
        <v>5768381.84803028</v>
      </c>
      <c r="H88" s="1" t="n">
        <f aca="false">DATEDIF(01_Lease_Master!$D$7,01_Lease_Master!$AJ$7,"m")+IF(DAY(01_Lease_Master!$AJ$7)&gt;=DAY(01_Lease_Master!$D$7),1,0)</f>
        <v>72</v>
      </c>
      <c r="I88" s="1" t="s">
        <v>153</v>
      </c>
      <c r="J88" s="1" t="str">
        <f aca="false">IF(ABS(G88-5768381.85)&lt;=0.01,"PASS","CHECK")</f>
        <v>PASS</v>
      </c>
    </row>
    <row r="89" customFormat="false" ht="15" hidden="false" customHeight="true" outlineLevel="0" collapsed="false">
      <c r="A89" s="1" t="s">
        <v>74</v>
      </c>
      <c r="B89" s="1" t="n">
        <v>0</v>
      </c>
      <c r="C89" s="1" t="n">
        <v>29</v>
      </c>
      <c r="D89" s="7" t="n">
        <v>46143</v>
      </c>
      <c r="E89" s="6" t="n">
        <f aca="false">G88</f>
        <v>5768381.84803028</v>
      </c>
      <c r="F89" s="6" t="n">
        <f aca="false">MIN(E89,ROUND(03_Initial_Recognition!$I$7/H89,2))</f>
        <v>131099.59</v>
      </c>
      <c r="G89" s="6" t="n">
        <f aca="false">MAX(0,E89-F89)</f>
        <v>5637282.25803028</v>
      </c>
      <c r="H89" s="1" t="n">
        <f aca="false">DATEDIF(01_Lease_Master!$D$7,01_Lease_Master!$AJ$7,"m")+IF(DAY(01_Lease_Master!$AJ$7)&gt;=DAY(01_Lease_Master!$D$7),1,0)</f>
        <v>72</v>
      </c>
      <c r="I89" s="1" t="s">
        <v>153</v>
      </c>
      <c r="J89" s="1" t="str">
        <f aca="false">IF(ABS(G89-5637282.26)&lt;=0.01,"PASS","CHECK")</f>
        <v>PASS</v>
      </c>
    </row>
    <row r="90" customFormat="false" ht="15" hidden="false" customHeight="true" outlineLevel="0" collapsed="false">
      <c r="A90" s="1" t="s">
        <v>74</v>
      </c>
      <c r="B90" s="1" t="n">
        <v>0</v>
      </c>
      <c r="C90" s="1" t="n">
        <v>30</v>
      </c>
      <c r="D90" s="7" t="n">
        <v>46174</v>
      </c>
      <c r="E90" s="6" t="n">
        <f aca="false">G89</f>
        <v>5637282.25803028</v>
      </c>
      <c r="F90" s="6" t="n">
        <f aca="false">MIN(E90,ROUND(03_Initial_Recognition!$I$7/H90,2))</f>
        <v>131099.59</v>
      </c>
      <c r="G90" s="6" t="n">
        <f aca="false">MAX(0,E90-F90)</f>
        <v>5506182.66803028</v>
      </c>
      <c r="H90" s="1" t="n">
        <f aca="false">DATEDIF(01_Lease_Master!$D$7,01_Lease_Master!$AJ$7,"m")+IF(DAY(01_Lease_Master!$AJ$7)&gt;=DAY(01_Lease_Master!$D$7),1,0)</f>
        <v>72</v>
      </c>
      <c r="I90" s="1" t="s">
        <v>153</v>
      </c>
      <c r="J90" s="1" t="str">
        <f aca="false">IF(ABS(G90-5506182.67)&lt;=0.01,"PASS","CHECK")</f>
        <v>PASS</v>
      </c>
    </row>
    <row r="91" customFormat="false" ht="15" hidden="false" customHeight="true" outlineLevel="0" collapsed="false">
      <c r="A91" s="1" t="s">
        <v>74</v>
      </c>
      <c r="B91" s="1" t="n">
        <v>0</v>
      </c>
      <c r="C91" s="1" t="n">
        <v>31</v>
      </c>
      <c r="D91" s="7" t="n">
        <v>46204</v>
      </c>
      <c r="E91" s="6" t="n">
        <f aca="false">G90</f>
        <v>5506182.66803028</v>
      </c>
      <c r="F91" s="6" t="n">
        <f aca="false">MIN(E91,ROUND(03_Initial_Recognition!$I$7/H91,2))</f>
        <v>131099.59</v>
      </c>
      <c r="G91" s="6" t="n">
        <f aca="false">MAX(0,E91-F91)</f>
        <v>5375083.07803028</v>
      </c>
      <c r="H91" s="1" t="n">
        <f aca="false">DATEDIF(01_Lease_Master!$D$7,01_Lease_Master!$AJ$7,"m")+IF(DAY(01_Lease_Master!$AJ$7)&gt;=DAY(01_Lease_Master!$D$7),1,0)</f>
        <v>72</v>
      </c>
      <c r="I91" s="1" t="s">
        <v>153</v>
      </c>
      <c r="J91" s="1" t="str">
        <f aca="false">IF(ABS(G91-5375083.08)&lt;=0.01,"PASS","CHECK")</f>
        <v>PASS</v>
      </c>
    </row>
    <row r="92" customFormat="false" ht="15" hidden="false" customHeight="true" outlineLevel="0" collapsed="false">
      <c r="A92" s="1" t="s">
        <v>74</v>
      </c>
      <c r="B92" s="1" t="n">
        <v>0</v>
      </c>
      <c r="C92" s="1" t="n">
        <v>32</v>
      </c>
      <c r="D92" s="7" t="n">
        <v>46235</v>
      </c>
      <c r="E92" s="6" t="n">
        <f aca="false">G91</f>
        <v>5375083.07803028</v>
      </c>
      <c r="F92" s="6" t="n">
        <f aca="false">MIN(E92,ROUND(03_Initial_Recognition!$I$7/H92,2))</f>
        <v>131099.59</v>
      </c>
      <c r="G92" s="6" t="n">
        <f aca="false">MAX(0,E92-F92)</f>
        <v>5243983.48803028</v>
      </c>
      <c r="H92" s="1" t="n">
        <f aca="false">DATEDIF(01_Lease_Master!$D$7,01_Lease_Master!$AJ$7,"m")+IF(DAY(01_Lease_Master!$AJ$7)&gt;=DAY(01_Lease_Master!$D$7),1,0)</f>
        <v>72</v>
      </c>
      <c r="I92" s="1" t="s">
        <v>153</v>
      </c>
      <c r="J92" s="1" t="str">
        <f aca="false">IF(ABS(G92-5243983.49)&lt;=0.01,"PASS","CHECK")</f>
        <v>PASS</v>
      </c>
    </row>
    <row r="93" customFormat="false" ht="15" hidden="false" customHeight="true" outlineLevel="0" collapsed="false">
      <c r="A93" s="1" t="s">
        <v>74</v>
      </c>
      <c r="B93" s="1" t="n">
        <v>0</v>
      </c>
      <c r="C93" s="1" t="n">
        <v>33</v>
      </c>
      <c r="D93" s="7" t="n">
        <v>46266</v>
      </c>
      <c r="E93" s="6" t="n">
        <f aca="false">G92</f>
        <v>5243983.48803028</v>
      </c>
      <c r="F93" s="6" t="n">
        <f aca="false">MIN(E93,ROUND(03_Initial_Recognition!$I$7/H93,2))</f>
        <v>131099.59</v>
      </c>
      <c r="G93" s="6" t="n">
        <f aca="false">MAX(0,E93-F93)</f>
        <v>5112883.89803028</v>
      </c>
      <c r="H93" s="1" t="n">
        <f aca="false">DATEDIF(01_Lease_Master!$D$7,01_Lease_Master!$AJ$7,"m")+IF(DAY(01_Lease_Master!$AJ$7)&gt;=DAY(01_Lease_Master!$D$7),1,0)</f>
        <v>72</v>
      </c>
      <c r="I93" s="1" t="s">
        <v>153</v>
      </c>
      <c r="J93" s="1" t="str">
        <f aca="false">IF(ABS(G93-5112883.9)&lt;=0.01,"PASS","CHECK")</f>
        <v>PASS</v>
      </c>
    </row>
    <row r="94" customFormat="false" ht="15" hidden="false" customHeight="true" outlineLevel="0" collapsed="false">
      <c r="A94" s="1" t="s">
        <v>74</v>
      </c>
      <c r="B94" s="1" t="s">
        <v>145</v>
      </c>
      <c r="C94" s="1" t="s">
        <v>145</v>
      </c>
      <c r="D94" s="7" t="n">
        <v>46271</v>
      </c>
      <c r="G94" s="6" t="n">
        <f aca="false">IFERROR(LOOKUP(2,1/(A$6:A93=A94),G$6:G93),SUMIF(03_Initial_Recognition!A:A,A94,03_Initial_Recognition!I:I))</f>
        <v>5112883.89803028</v>
      </c>
      <c r="J94" s="1" t="str">
        <f aca="false">IF(ABS(G94-5112883.9)&lt;=0.01,"PASS","CHECK")</f>
        <v>PASS</v>
      </c>
    </row>
    <row r="95" customFormat="false" ht="15" hidden="false" customHeight="true" outlineLevel="0" collapsed="false">
      <c r="A95" s="1" t="s">
        <v>80</v>
      </c>
      <c r="B95" s="1" t="n">
        <v>0</v>
      </c>
      <c r="C95" s="1" t="n">
        <v>1</v>
      </c>
      <c r="D95" s="7" t="n">
        <v>46113</v>
      </c>
      <c r="E95" s="6" t="n">
        <f aca="false">03_Initial_Recognition!$I$8</f>
        <v>1200104.94389441</v>
      </c>
      <c r="F95" s="6" t="n">
        <f aca="false">MIN(E95,ROUND(03_Initial_Recognition!$I$8/H95,2))</f>
        <v>20001.75</v>
      </c>
      <c r="G95" s="6" t="n">
        <f aca="false">MAX(0,E95-F95)</f>
        <v>1180103.19389441</v>
      </c>
      <c r="H95" s="1" t="n">
        <f aca="false">DATEDIF(01_Lease_Master!$D$8,01_Lease_Master!$AJ$8,"m")+IF(DAY(01_Lease_Master!$AJ$8)&gt;=DAY(01_Lease_Master!$D$8),1,0)</f>
        <v>60</v>
      </c>
      <c r="I95" s="1" t="s">
        <v>153</v>
      </c>
      <c r="J95" s="1" t="str">
        <f aca="false">IF(ABS(G95-1180103.19)&lt;=0.01,"PASS","CHECK")</f>
        <v>PASS</v>
      </c>
    </row>
    <row r="96" customFormat="false" ht="15" hidden="false" customHeight="true" outlineLevel="0" collapsed="false">
      <c r="A96" s="1" t="s">
        <v>80</v>
      </c>
      <c r="B96" s="1" t="n">
        <v>0</v>
      </c>
      <c r="C96" s="1" t="n">
        <v>2</v>
      </c>
      <c r="D96" s="7" t="n">
        <v>46143</v>
      </c>
      <c r="E96" s="6" t="n">
        <f aca="false">G95</f>
        <v>1180103.19389441</v>
      </c>
      <c r="F96" s="6" t="n">
        <f aca="false">MIN(E96,ROUND(03_Initial_Recognition!$I$8/H96,2))</f>
        <v>20001.75</v>
      </c>
      <c r="G96" s="6" t="n">
        <f aca="false">MAX(0,E96-F96)</f>
        <v>1160101.44389441</v>
      </c>
      <c r="H96" s="1" t="n">
        <f aca="false">DATEDIF(01_Lease_Master!$D$8,01_Lease_Master!$AJ$8,"m")+IF(DAY(01_Lease_Master!$AJ$8)&gt;=DAY(01_Lease_Master!$D$8),1,0)</f>
        <v>60</v>
      </c>
      <c r="I96" s="1" t="s">
        <v>153</v>
      </c>
      <c r="J96" s="1" t="str">
        <f aca="false">IF(ABS(G96-1160101.44)&lt;=0.01,"PASS","CHECK")</f>
        <v>PASS</v>
      </c>
    </row>
    <row r="97" customFormat="false" ht="15" hidden="false" customHeight="true" outlineLevel="0" collapsed="false">
      <c r="A97" s="1" t="s">
        <v>80</v>
      </c>
      <c r="B97" s="1" t="n">
        <v>0</v>
      </c>
      <c r="C97" s="1" t="n">
        <v>3</v>
      </c>
      <c r="D97" s="7" t="n">
        <v>46174</v>
      </c>
      <c r="E97" s="6" t="n">
        <f aca="false">G96</f>
        <v>1160101.44389441</v>
      </c>
      <c r="F97" s="6" t="n">
        <f aca="false">MIN(E97,ROUND(03_Initial_Recognition!$I$8/H97,2))</f>
        <v>20001.75</v>
      </c>
      <c r="G97" s="6" t="n">
        <f aca="false">MAX(0,E97-F97)</f>
        <v>1140099.69389441</v>
      </c>
      <c r="H97" s="1" t="n">
        <f aca="false">DATEDIF(01_Lease_Master!$D$8,01_Lease_Master!$AJ$8,"m")+IF(DAY(01_Lease_Master!$AJ$8)&gt;=DAY(01_Lease_Master!$D$8),1,0)</f>
        <v>60</v>
      </c>
      <c r="I97" s="1" t="s">
        <v>153</v>
      </c>
      <c r="J97" s="1" t="str">
        <f aca="false">IF(ABS(G97-1140099.69)&lt;=0.01,"PASS","CHECK")</f>
        <v>PASS</v>
      </c>
    </row>
    <row r="98" customFormat="false" ht="15" hidden="false" customHeight="true" outlineLevel="0" collapsed="false">
      <c r="A98" s="1" t="s">
        <v>80</v>
      </c>
      <c r="B98" s="1" t="n">
        <v>0</v>
      </c>
      <c r="C98" s="1" t="n">
        <v>4</v>
      </c>
      <c r="D98" s="7" t="n">
        <v>46204</v>
      </c>
      <c r="E98" s="6" t="n">
        <f aca="false">G97</f>
        <v>1140099.69389441</v>
      </c>
      <c r="F98" s="6" t="n">
        <f aca="false">MIN(E98,ROUND(03_Initial_Recognition!$I$8/H98,2))</f>
        <v>20001.75</v>
      </c>
      <c r="G98" s="6" t="n">
        <f aca="false">MAX(0,E98-F98)</f>
        <v>1120097.94389441</v>
      </c>
      <c r="H98" s="1" t="n">
        <f aca="false">DATEDIF(01_Lease_Master!$D$8,01_Lease_Master!$AJ$8,"m")+IF(DAY(01_Lease_Master!$AJ$8)&gt;=DAY(01_Lease_Master!$D$8),1,0)</f>
        <v>60</v>
      </c>
      <c r="I98" s="1" t="s">
        <v>153</v>
      </c>
      <c r="J98" s="1" t="str">
        <f aca="false">IF(ABS(G98-1120097.94)&lt;=0.01,"PASS","CHECK")</f>
        <v>PASS</v>
      </c>
    </row>
    <row r="99" customFormat="false" ht="15" hidden="false" customHeight="true" outlineLevel="0" collapsed="false">
      <c r="A99" s="1" t="s">
        <v>80</v>
      </c>
      <c r="B99" s="1" t="n">
        <v>0</v>
      </c>
      <c r="C99" s="1" t="n">
        <v>5</v>
      </c>
      <c r="D99" s="7" t="n">
        <v>46235</v>
      </c>
      <c r="E99" s="6" t="n">
        <f aca="false">G98</f>
        <v>1120097.94389441</v>
      </c>
      <c r="F99" s="6" t="n">
        <f aca="false">MIN(E99,ROUND(03_Initial_Recognition!$I$8/H99,2))</f>
        <v>20001.75</v>
      </c>
      <c r="G99" s="6" t="n">
        <f aca="false">MAX(0,E99-F99)</f>
        <v>1100096.19389441</v>
      </c>
      <c r="H99" s="1" t="n">
        <f aca="false">DATEDIF(01_Lease_Master!$D$8,01_Lease_Master!$AJ$8,"m")+IF(DAY(01_Lease_Master!$AJ$8)&gt;=DAY(01_Lease_Master!$D$8),1,0)</f>
        <v>60</v>
      </c>
      <c r="I99" s="1" t="s">
        <v>153</v>
      </c>
      <c r="J99" s="1" t="str">
        <f aca="false">IF(ABS(G99-1100096.19)&lt;=0.01,"PASS","CHECK")</f>
        <v>PASS</v>
      </c>
    </row>
    <row r="100" customFormat="false" ht="15" hidden="false" customHeight="true" outlineLevel="0" collapsed="false">
      <c r="A100" s="1" t="s">
        <v>80</v>
      </c>
      <c r="B100" s="1" t="n">
        <v>0</v>
      </c>
      <c r="C100" s="1" t="n">
        <v>6</v>
      </c>
      <c r="D100" s="7" t="n">
        <v>46266</v>
      </c>
      <c r="E100" s="6" t="n">
        <f aca="false">G99</f>
        <v>1100096.19389441</v>
      </c>
      <c r="F100" s="6" t="n">
        <f aca="false">MIN(E100,ROUND(03_Initial_Recognition!$I$8/H100,2))</f>
        <v>20001.75</v>
      </c>
      <c r="G100" s="6" t="n">
        <f aca="false">MAX(0,E100-F100)</f>
        <v>1080094.44389441</v>
      </c>
      <c r="H100" s="1" t="n">
        <f aca="false">DATEDIF(01_Lease_Master!$D$8,01_Lease_Master!$AJ$8,"m")+IF(DAY(01_Lease_Master!$AJ$8)&gt;=DAY(01_Lease_Master!$D$8),1,0)</f>
        <v>60</v>
      </c>
      <c r="I100" s="1" t="s">
        <v>153</v>
      </c>
      <c r="J100" s="1" t="str">
        <f aca="false">IF(ABS(G100-1080094.44)&lt;=0.01,"PASS","CHECK")</f>
        <v>PASS</v>
      </c>
    </row>
    <row r="101" customFormat="false" ht="15" hidden="false" customHeight="true" outlineLevel="0" collapsed="false">
      <c r="A101" s="1" t="s">
        <v>80</v>
      </c>
      <c r="B101" s="1" t="s">
        <v>145</v>
      </c>
      <c r="C101" s="1" t="s">
        <v>145</v>
      </c>
      <c r="D101" s="7" t="n">
        <v>46271</v>
      </c>
      <c r="G101" s="6" t="n">
        <f aca="false">IFERROR(LOOKUP(2,1/(A$6:A100=A101),G$6:G100),SUMIF(03_Initial_Recognition!A:A,A101,03_Initial_Recognition!I:I))</f>
        <v>1080094.44389441</v>
      </c>
      <c r="J101" s="1" t="str">
        <f aca="false">IF(ABS(G101-1080094.44)&lt;=0.01,"PASS","CHECK")</f>
        <v>PASS</v>
      </c>
    </row>
    <row r="102" customFormat="false" ht="15" hidden="false" customHeight="true" outlineLevel="0" collapsed="false">
      <c r="A102" s="1" t="s">
        <v>84</v>
      </c>
      <c r="B102" s="1" t="n">
        <v>0</v>
      </c>
      <c r="C102" s="1" t="n">
        <v>1</v>
      </c>
      <c r="D102" s="7" t="n">
        <v>45672</v>
      </c>
      <c r="E102" s="6" t="n">
        <f aca="false">03_Initial_Recognition!$I$9</f>
        <v>1652805.49626747</v>
      </c>
      <c r="F102" s="6" t="n">
        <f aca="false">MIN(E102,ROUND(03_Initial_Recognition!$I$9/H102,2))</f>
        <v>47223.01</v>
      </c>
      <c r="G102" s="6" t="n">
        <f aca="false">MAX(0,E102-F102)</f>
        <v>1605582.48626747</v>
      </c>
      <c r="H102" s="1" t="n">
        <f aca="false">DATEDIF(01_Lease_Master!$D$9,01_Lease_Master!$AJ$9,"m")+IF(DAY(01_Lease_Master!$AJ$9)&gt;=DAY(01_Lease_Master!$D$9),1,0)</f>
        <v>35</v>
      </c>
      <c r="I102" s="1" t="s">
        <v>153</v>
      </c>
      <c r="J102" s="1" t="str">
        <f aca="false">IF(ABS(G102-1606894.24)&lt;=0.01,"PASS","CHECK")</f>
        <v>CHECK</v>
      </c>
    </row>
    <row r="103" customFormat="false" ht="15" hidden="false" customHeight="true" outlineLevel="0" collapsed="false">
      <c r="A103" s="1" t="s">
        <v>84</v>
      </c>
      <c r="B103" s="1" t="n">
        <v>0</v>
      </c>
      <c r="C103" s="1" t="n">
        <v>2</v>
      </c>
      <c r="D103" s="7" t="n">
        <v>45703</v>
      </c>
      <c r="E103" s="6" t="n">
        <f aca="false">G102</f>
        <v>1605582.48626747</v>
      </c>
      <c r="F103" s="6" t="n">
        <f aca="false">MIN(E103,ROUND(03_Initial_Recognition!$I$9/H103,2))</f>
        <v>47223.01</v>
      </c>
      <c r="G103" s="6" t="n">
        <f aca="false">MAX(0,E103-F103)</f>
        <v>1558359.47626747</v>
      </c>
      <c r="H103" s="1" t="n">
        <f aca="false">DATEDIF(01_Lease_Master!$D$9,01_Lease_Master!$AJ$9,"m")+IF(DAY(01_Lease_Master!$AJ$9)&gt;=DAY(01_Lease_Master!$D$9),1,0)</f>
        <v>35</v>
      </c>
      <c r="I103" s="1" t="s">
        <v>153</v>
      </c>
      <c r="J103" s="1" t="str">
        <f aca="false">IF(ABS(G103-1560982.98)&lt;=0.01,"PASS","CHECK")</f>
        <v>CHECK</v>
      </c>
    </row>
    <row r="104" customFormat="false" ht="15" hidden="false" customHeight="true" outlineLevel="0" collapsed="false">
      <c r="A104" s="1" t="s">
        <v>84</v>
      </c>
      <c r="B104" s="1" t="n">
        <v>0</v>
      </c>
      <c r="C104" s="1" t="n">
        <v>3</v>
      </c>
      <c r="D104" s="7" t="n">
        <v>45731</v>
      </c>
      <c r="E104" s="6" t="n">
        <f aca="false">G103</f>
        <v>1558359.47626747</v>
      </c>
      <c r="F104" s="6" t="n">
        <f aca="false">MIN(E104,ROUND(03_Initial_Recognition!$I$9/H104,2))</f>
        <v>47223.01</v>
      </c>
      <c r="G104" s="6" t="n">
        <f aca="false">MAX(0,E104-F104)</f>
        <v>1511136.46626747</v>
      </c>
      <c r="H104" s="1" t="n">
        <f aca="false">DATEDIF(01_Lease_Master!$D$9,01_Lease_Master!$AJ$9,"m")+IF(DAY(01_Lease_Master!$AJ$9)&gt;=DAY(01_Lease_Master!$D$9),1,0)</f>
        <v>35</v>
      </c>
      <c r="I104" s="1" t="s">
        <v>153</v>
      </c>
      <c r="J104" s="1" t="str">
        <f aca="false">IF(ABS(G104-1515071.72)&lt;=0.01,"PASS","CHECK")</f>
        <v>CHECK</v>
      </c>
    </row>
    <row r="105" customFormat="false" ht="15" hidden="false" customHeight="true" outlineLevel="0" collapsed="false">
      <c r="A105" s="1" t="s">
        <v>84</v>
      </c>
      <c r="B105" s="1" t="n">
        <v>0</v>
      </c>
      <c r="C105" s="1" t="n">
        <v>4</v>
      </c>
      <c r="D105" s="7" t="n">
        <v>45762</v>
      </c>
      <c r="E105" s="6" t="n">
        <f aca="false">G104</f>
        <v>1511136.46626747</v>
      </c>
      <c r="F105" s="6" t="n">
        <f aca="false">MIN(E105,ROUND(03_Initial_Recognition!$I$9/H105,2))</f>
        <v>47223.01</v>
      </c>
      <c r="G105" s="6" t="n">
        <f aca="false">MAX(0,E105-F105)</f>
        <v>1463913.45626747</v>
      </c>
      <c r="H105" s="1" t="n">
        <f aca="false">DATEDIF(01_Lease_Master!$D$9,01_Lease_Master!$AJ$9,"m")+IF(DAY(01_Lease_Master!$AJ$9)&gt;=DAY(01_Lease_Master!$D$9),1,0)</f>
        <v>35</v>
      </c>
      <c r="I105" s="1" t="s">
        <v>153</v>
      </c>
      <c r="J105" s="1" t="str">
        <f aca="false">IF(ABS(G105-1469160.46)&lt;=0.01,"PASS","CHECK")</f>
        <v>CHECK</v>
      </c>
    </row>
    <row r="106" customFormat="false" ht="15" hidden="false" customHeight="true" outlineLevel="0" collapsed="false">
      <c r="A106" s="1" t="s">
        <v>84</v>
      </c>
      <c r="B106" s="1" t="n">
        <v>0</v>
      </c>
      <c r="C106" s="1" t="n">
        <v>5</v>
      </c>
      <c r="D106" s="7" t="n">
        <v>45792</v>
      </c>
      <c r="E106" s="6" t="n">
        <f aca="false">G105</f>
        <v>1463913.45626747</v>
      </c>
      <c r="F106" s="6" t="n">
        <f aca="false">MIN(E106,ROUND(03_Initial_Recognition!$I$9/H106,2))</f>
        <v>47223.01</v>
      </c>
      <c r="G106" s="6" t="n">
        <f aca="false">MAX(0,E106-F106)</f>
        <v>1416690.44626747</v>
      </c>
      <c r="H106" s="1" t="n">
        <f aca="false">DATEDIF(01_Lease_Master!$D$9,01_Lease_Master!$AJ$9,"m")+IF(DAY(01_Lease_Master!$AJ$9)&gt;=DAY(01_Lease_Master!$D$9),1,0)</f>
        <v>35</v>
      </c>
      <c r="I106" s="1" t="s">
        <v>153</v>
      </c>
      <c r="J106" s="1" t="str">
        <f aca="false">IF(ABS(G106-1423249.2)&lt;=0.01,"PASS","CHECK")</f>
        <v>CHECK</v>
      </c>
    </row>
    <row r="107" customFormat="false" ht="15" hidden="false" customHeight="true" outlineLevel="0" collapsed="false">
      <c r="A107" s="1" t="s">
        <v>84</v>
      </c>
      <c r="B107" s="1" t="n">
        <v>0</v>
      </c>
      <c r="C107" s="1" t="n">
        <v>6</v>
      </c>
      <c r="D107" s="7" t="n">
        <v>45823</v>
      </c>
      <c r="E107" s="6" t="n">
        <f aca="false">G106</f>
        <v>1416690.44626747</v>
      </c>
      <c r="F107" s="6" t="n">
        <f aca="false">MIN(E107,ROUND(03_Initial_Recognition!$I$9/H107,2))</f>
        <v>47223.01</v>
      </c>
      <c r="G107" s="6" t="n">
        <f aca="false">MAX(0,E107-F107)</f>
        <v>1369467.43626747</v>
      </c>
      <c r="H107" s="1" t="n">
        <f aca="false">DATEDIF(01_Lease_Master!$D$9,01_Lease_Master!$AJ$9,"m")+IF(DAY(01_Lease_Master!$AJ$9)&gt;=DAY(01_Lease_Master!$D$9),1,0)</f>
        <v>35</v>
      </c>
      <c r="I107" s="1" t="s">
        <v>153</v>
      </c>
      <c r="J107" s="1" t="str">
        <f aca="false">IF(ABS(G107-1377337.94)&lt;=0.01,"PASS","CHECK")</f>
        <v>CHECK</v>
      </c>
    </row>
    <row r="108" customFormat="false" ht="15" hidden="false" customHeight="true" outlineLevel="0" collapsed="false">
      <c r="A108" s="1" t="s">
        <v>84</v>
      </c>
      <c r="B108" s="1" t="n">
        <v>0</v>
      </c>
      <c r="C108" s="1" t="n">
        <v>7</v>
      </c>
      <c r="D108" s="7" t="n">
        <v>45853</v>
      </c>
      <c r="E108" s="6" t="n">
        <f aca="false">G107</f>
        <v>1369467.43626747</v>
      </c>
      <c r="F108" s="6" t="n">
        <f aca="false">MIN(E108,ROUND(03_Initial_Recognition!$I$9/H108,2))</f>
        <v>47223.01</v>
      </c>
      <c r="G108" s="6" t="n">
        <f aca="false">MAX(0,E108-F108)</f>
        <v>1322244.42626747</v>
      </c>
      <c r="H108" s="1" t="n">
        <f aca="false">DATEDIF(01_Lease_Master!$D$9,01_Lease_Master!$AJ$9,"m")+IF(DAY(01_Lease_Master!$AJ$9)&gt;=DAY(01_Lease_Master!$D$9),1,0)</f>
        <v>35</v>
      </c>
      <c r="I108" s="1" t="s">
        <v>153</v>
      </c>
      <c r="J108" s="1" t="str">
        <f aca="false">IF(ABS(G108-1331426.68)&lt;=0.01,"PASS","CHECK")</f>
        <v>CHECK</v>
      </c>
    </row>
    <row r="109" customFormat="false" ht="15" hidden="false" customHeight="true" outlineLevel="0" collapsed="false">
      <c r="A109" s="1" t="s">
        <v>84</v>
      </c>
      <c r="B109" s="1" t="n">
        <v>0</v>
      </c>
      <c r="C109" s="1" t="n">
        <v>8</v>
      </c>
      <c r="D109" s="7" t="n">
        <v>45884</v>
      </c>
      <c r="E109" s="6" t="n">
        <f aca="false">G108</f>
        <v>1322244.42626747</v>
      </c>
      <c r="F109" s="6" t="n">
        <f aca="false">MIN(E109,ROUND(03_Initial_Recognition!$I$9/H109,2))</f>
        <v>47223.01</v>
      </c>
      <c r="G109" s="6" t="n">
        <f aca="false">MAX(0,E109-F109)</f>
        <v>1275021.41626747</v>
      </c>
      <c r="H109" s="1" t="n">
        <f aca="false">DATEDIF(01_Lease_Master!$D$9,01_Lease_Master!$AJ$9,"m")+IF(DAY(01_Lease_Master!$AJ$9)&gt;=DAY(01_Lease_Master!$D$9),1,0)</f>
        <v>35</v>
      </c>
      <c r="I109" s="1" t="s">
        <v>153</v>
      </c>
      <c r="J109" s="1" t="str">
        <f aca="false">IF(ABS(G109-1285515.42)&lt;=0.01,"PASS","CHECK")</f>
        <v>CHECK</v>
      </c>
    </row>
    <row r="110" customFormat="false" ht="15" hidden="false" customHeight="true" outlineLevel="0" collapsed="false">
      <c r="A110" s="1" t="s">
        <v>84</v>
      </c>
      <c r="B110" s="1" t="n">
        <v>0</v>
      </c>
      <c r="C110" s="1" t="n">
        <v>9</v>
      </c>
      <c r="D110" s="7" t="n">
        <v>45915</v>
      </c>
      <c r="E110" s="6" t="n">
        <f aca="false">G109</f>
        <v>1275021.41626747</v>
      </c>
      <c r="F110" s="6" t="n">
        <f aca="false">MIN(E110,ROUND(03_Initial_Recognition!$I$9/H110,2))</f>
        <v>47223.01</v>
      </c>
      <c r="G110" s="6" t="n">
        <f aca="false">MAX(0,E110-F110)</f>
        <v>1227798.40626747</v>
      </c>
      <c r="H110" s="1" t="n">
        <f aca="false">DATEDIF(01_Lease_Master!$D$9,01_Lease_Master!$AJ$9,"m")+IF(DAY(01_Lease_Master!$AJ$9)&gt;=DAY(01_Lease_Master!$D$9),1,0)</f>
        <v>35</v>
      </c>
      <c r="I110" s="1" t="s">
        <v>153</v>
      </c>
      <c r="J110" s="1" t="str">
        <f aca="false">IF(ABS(G110-1239604.16)&lt;=0.01,"PASS","CHECK")</f>
        <v>CHECK</v>
      </c>
    </row>
    <row r="111" customFormat="false" ht="15" hidden="false" customHeight="true" outlineLevel="0" collapsed="false">
      <c r="A111" s="1" t="s">
        <v>84</v>
      </c>
      <c r="B111" s="1" t="n">
        <v>0</v>
      </c>
      <c r="C111" s="1" t="n">
        <v>10</v>
      </c>
      <c r="D111" s="7" t="n">
        <v>45945</v>
      </c>
      <c r="E111" s="6" t="n">
        <f aca="false">G110</f>
        <v>1227798.40626747</v>
      </c>
      <c r="F111" s="6" t="n">
        <f aca="false">MIN(E111,ROUND(03_Initial_Recognition!$I$9/H111,2))</f>
        <v>47223.01</v>
      </c>
      <c r="G111" s="6" t="n">
        <f aca="false">MAX(0,E111-F111)</f>
        <v>1180575.39626747</v>
      </c>
      <c r="H111" s="1" t="n">
        <f aca="false">DATEDIF(01_Lease_Master!$D$9,01_Lease_Master!$AJ$9,"m")+IF(DAY(01_Lease_Master!$AJ$9)&gt;=DAY(01_Lease_Master!$D$9),1,0)</f>
        <v>35</v>
      </c>
      <c r="I111" s="1" t="s">
        <v>153</v>
      </c>
      <c r="J111" s="1" t="str">
        <f aca="false">IF(ABS(G111-1193692.9)&lt;=0.01,"PASS","CHECK")</f>
        <v>CHECK</v>
      </c>
    </row>
    <row r="112" customFormat="false" ht="15" hidden="false" customHeight="true" outlineLevel="0" collapsed="false">
      <c r="A112" s="1" t="s">
        <v>84</v>
      </c>
      <c r="B112" s="1" t="n">
        <v>0</v>
      </c>
      <c r="C112" s="1" t="n">
        <v>11</v>
      </c>
      <c r="D112" s="7" t="n">
        <v>45976</v>
      </c>
      <c r="E112" s="6" t="n">
        <f aca="false">G111</f>
        <v>1180575.39626747</v>
      </c>
      <c r="F112" s="6" t="n">
        <f aca="false">MIN(E112,ROUND(03_Initial_Recognition!$I$9/H112,2))</f>
        <v>47223.01</v>
      </c>
      <c r="G112" s="6" t="n">
        <f aca="false">MAX(0,E112-F112)</f>
        <v>1133352.38626747</v>
      </c>
      <c r="H112" s="1" t="n">
        <f aca="false">DATEDIF(01_Lease_Master!$D$9,01_Lease_Master!$AJ$9,"m")+IF(DAY(01_Lease_Master!$AJ$9)&gt;=DAY(01_Lease_Master!$D$9),1,0)</f>
        <v>35</v>
      </c>
      <c r="I112" s="1" t="s">
        <v>153</v>
      </c>
      <c r="J112" s="1" t="str">
        <f aca="false">IF(ABS(G112-1147781.64)&lt;=0.01,"PASS","CHECK")</f>
        <v>CHECK</v>
      </c>
    </row>
    <row r="113" customFormat="false" ht="15" hidden="false" customHeight="true" outlineLevel="0" collapsed="false">
      <c r="A113" s="1" t="s">
        <v>84</v>
      </c>
      <c r="B113" s="1" t="n">
        <v>0</v>
      </c>
      <c r="C113" s="1" t="n">
        <v>12</v>
      </c>
      <c r="D113" s="7" t="n">
        <v>46006</v>
      </c>
      <c r="E113" s="6" t="n">
        <f aca="false">G112</f>
        <v>1133352.38626747</v>
      </c>
      <c r="F113" s="6" t="n">
        <f aca="false">MIN(E113,ROUND(03_Initial_Recognition!$I$9/H113,2))</f>
        <v>47223.01</v>
      </c>
      <c r="G113" s="6" t="n">
        <f aca="false">MAX(0,E113-F113)</f>
        <v>1086129.37626747</v>
      </c>
      <c r="H113" s="1" t="n">
        <f aca="false">DATEDIF(01_Lease_Master!$D$9,01_Lease_Master!$AJ$9,"m")+IF(DAY(01_Lease_Master!$AJ$9)&gt;=DAY(01_Lease_Master!$D$9),1,0)</f>
        <v>35</v>
      </c>
      <c r="I113" s="1" t="s">
        <v>153</v>
      </c>
      <c r="J113" s="1" t="str">
        <f aca="false">IF(ABS(G113-1101870.38)&lt;=0.01,"PASS","CHECK")</f>
        <v>CHECK</v>
      </c>
    </row>
    <row r="114" customFormat="false" ht="15" hidden="false" customHeight="true" outlineLevel="0" collapsed="false">
      <c r="A114" s="1" t="s">
        <v>84</v>
      </c>
      <c r="B114" s="1" t="n">
        <v>0</v>
      </c>
      <c r="C114" s="1" t="n">
        <v>13</v>
      </c>
      <c r="D114" s="7" t="n">
        <v>46037</v>
      </c>
      <c r="E114" s="6" t="n">
        <f aca="false">G113</f>
        <v>1086129.37626747</v>
      </c>
      <c r="F114" s="6" t="n">
        <f aca="false">MIN(E114,ROUND(03_Initial_Recognition!$I$9/H114,2))</f>
        <v>47223.01</v>
      </c>
      <c r="G114" s="6" t="n">
        <f aca="false">MAX(0,E114-F114)</f>
        <v>1038906.36626747</v>
      </c>
      <c r="H114" s="1" t="n">
        <f aca="false">DATEDIF(01_Lease_Master!$D$9,01_Lease_Master!$AJ$9,"m")+IF(DAY(01_Lease_Master!$AJ$9)&gt;=DAY(01_Lease_Master!$D$9),1,0)</f>
        <v>35</v>
      </c>
      <c r="I114" s="1" t="s">
        <v>153</v>
      </c>
      <c r="J114" s="1" t="str">
        <f aca="false">IF(ABS(G114-1055959.12)&lt;=0.01,"PASS","CHECK")</f>
        <v>CHECK</v>
      </c>
    </row>
    <row r="115" customFormat="false" ht="15" hidden="false" customHeight="true" outlineLevel="0" collapsed="false">
      <c r="A115" s="1" t="s">
        <v>84</v>
      </c>
      <c r="B115" s="1" t="n">
        <v>0</v>
      </c>
      <c r="C115" s="1" t="n">
        <v>14</v>
      </c>
      <c r="D115" s="7" t="n">
        <v>46068</v>
      </c>
      <c r="E115" s="6" t="n">
        <f aca="false">G114</f>
        <v>1038906.36626747</v>
      </c>
      <c r="F115" s="6" t="n">
        <f aca="false">MIN(E115,ROUND(03_Initial_Recognition!$I$9/H115,2))</f>
        <v>47223.01</v>
      </c>
      <c r="G115" s="6" t="n">
        <f aca="false">MAX(0,E115-F115)</f>
        <v>991683.356267473</v>
      </c>
      <c r="H115" s="1" t="n">
        <f aca="false">DATEDIF(01_Lease_Master!$D$9,01_Lease_Master!$AJ$9,"m")+IF(DAY(01_Lease_Master!$AJ$9)&gt;=DAY(01_Lease_Master!$D$9),1,0)</f>
        <v>35</v>
      </c>
      <c r="I115" s="1" t="s">
        <v>153</v>
      </c>
      <c r="J115" s="1" t="str">
        <f aca="false">IF(ABS(G115-1010047.86)&lt;=0.01,"PASS","CHECK")</f>
        <v>CHECK</v>
      </c>
    </row>
    <row r="116" customFormat="false" ht="15" hidden="false" customHeight="true" outlineLevel="0" collapsed="false">
      <c r="A116" s="1" t="s">
        <v>84</v>
      </c>
      <c r="B116" s="1" t="n">
        <v>0</v>
      </c>
      <c r="C116" s="1" t="n">
        <v>15</v>
      </c>
      <c r="D116" s="7" t="n">
        <v>46096</v>
      </c>
      <c r="E116" s="6" t="n">
        <f aca="false">G115</f>
        <v>991683.356267473</v>
      </c>
      <c r="F116" s="6" t="n">
        <f aca="false">MIN(E116,ROUND(03_Initial_Recognition!$I$9/H116,2))</f>
        <v>47223.01</v>
      </c>
      <c r="G116" s="6" t="n">
        <f aca="false">MAX(0,E116-F116)</f>
        <v>944460.346267473</v>
      </c>
      <c r="H116" s="1" t="n">
        <f aca="false">DATEDIF(01_Lease_Master!$D$9,01_Lease_Master!$AJ$9,"m")+IF(DAY(01_Lease_Master!$AJ$9)&gt;=DAY(01_Lease_Master!$D$9),1,0)</f>
        <v>35</v>
      </c>
      <c r="I116" s="1" t="s">
        <v>153</v>
      </c>
      <c r="J116" s="1" t="str">
        <f aca="false">IF(ABS(G116-964136.6)&lt;=0.01,"PASS","CHECK")</f>
        <v>CHECK</v>
      </c>
    </row>
    <row r="117" customFormat="false" ht="15" hidden="false" customHeight="true" outlineLevel="0" collapsed="false">
      <c r="A117" s="1" t="s">
        <v>84</v>
      </c>
      <c r="B117" s="1" t="n">
        <v>0</v>
      </c>
      <c r="C117" s="1" t="n">
        <v>16</v>
      </c>
      <c r="D117" s="7" t="n">
        <v>46127</v>
      </c>
      <c r="E117" s="6" t="n">
        <f aca="false">G116</f>
        <v>944460.346267473</v>
      </c>
      <c r="F117" s="6" t="n">
        <f aca="false">MIN(E117,ROUND(03_Initial_Recognition!$I$9/H117,2))</f>
        <v>47223.01</v>
      </c>
      <c r="G117" s="6" t="n">
        <f aca="false">MAX(0,E117-F117)</f>
        <v>897237.336267473</v>
      </c>
      <c r="H117" s="1" t="n">
        <f aca="false">DATEDIF(01_Lease_Master!$D$9,01_Lease_Master!$AJ$9,"m")+IF(DAY(01_Lease_Master!$AJ$9)&gt;=DAY(01_Lease_Master!$D$9),1,0)</f>
        <v>35</v>
      </c>
      <c r="I117" s="1" t="s">
        <v>153</v>
      </c>
      <c r="J117" s="1" t="str">
        <f aca="false">IF(ABS(G117-918225.34)&lt;=0.01,"PASS","CHECK")</f>
        <v>CHECK</v>
      </c>
    </row>
    <row r="118" customFormat="false" ht="15" hidden="false" customHeight="true" outlineLevel="0" collapsed="false">
      <c r="A118" s="1" t="s">
        <v>84</v>
      </c>
      <c r="B118" s="1" t="n">
        <v>0</v>
      </c>
      <c r="C118" s="1" t="n">
        <v>17</v>
      </c>
      <c r="D118" s="7" t="n">
        <v>46157</v>
      </c>
      <c r="E118" s="6" t="n">
        <f aca="false">G117</f>
        <v>897237.336267473</v>
      </c>
      <c r="F118" s="6" t="n">
        <f aca="false">MIN(E118,ROUND(03_Initial_Recognition!$I$9/H118,2))</f>
        <v>47223.01</v>
      </c>
      <c r="G118" s="6" t="n">
        <f aca="false">MAX(0,E118-F118)</f>
        <v>850014.326267473</v>
      </c>
      <c r="H118" s="1" t="n">
        <f aca="false">DATEDIF(01_Lease_Master!$D$9,01_Lease_Master!$AJ$9,"m")+IF(DAY(01_Lease_Master!$AJ$9)&gt;=DAY(01_Lease_Master!$D$9),1,0)</f>
        <v>35</v>
      </c>
      <c r="I118" s="1" t="s">
        <v>153</v>
      </c>
      <c r="J118" s="1" t="str">
        <f aca="false">IF(ABS(G118-872314.08)&lt;=0.01,"PASS","CHECK")</f>
        <v>CHECK</v>
      </c>
    </row>
    <row r="119" customFormat="false" ht="15" hidden="false" customHeight="true" outlineLevel="0" collapsed="false">
      <c r="A119" s="1" t="s">
        <v>84</v>
      </c>
      <c r="B119" s="1" t="n">
        <v>0</v>
      </c>
      <c r="C119" s="1" t="n">
        <v>18</v>
      </c>
      <c r="D119" s="7" t="n">
        <v>46188</v>
      </c>
      <c r="E119" s="6" t="n">
        <f aca="false">G118</f>
        <v>850014.326267473</v>
      </c>
      <c r="F119" s="6" t="n">
        <f aca="false">MIN(E119,ROUND(03_Initial_Recognition!$I$9/H119,2))</f>
        <v>47223.01</v>
      </c>
      <c r="G119" s="6" t="n">
        <f aca="false">MAX(0,E119-F119)</f>
        <v>802791.316267473</v>
      </c>
      <c r="H119" s="1" t="n">
        <f aca="false">DATEDIF(01_Lease_Master!$D$9,01_Lease_Master!$AJ$9,"m")+IF(DAY(01_Lease_Master!$AJ$9)&gt;=DAY(01_Lease_Master!$D$9),1,0)</f>
        <v>35</v>
      </c>
      <c r="I119" s="1" t="s">
        <v>153</v>
      </c>
      <c r="J119" s="1" t="str">
        <f aca="false">IF(ABS(G119-826402.82)&lt;=0.01,"PASS","CHECK")</f>
        <v>CHECK</v>
      </c>
    </row>
    <row r="120" customFormat="false" ht="15" hidden="false" customHeight="true" outlineLevel="0" collapsed="false">
      <c r="A120" s="1" t="s">
        <v>84</v>
      </c>
      <c r="B120" s="1" t="n">
        <v>0</v>
      </c>
      <c r="C120" s="1" t="n">
        <v>19</v>
      </c>
      <c r="D120" s="7" t="n">
        <v>46218</v>
      </c>
      <c r="E120" s="6" t="n">
        <f aca="false">G119</f>
        <v>802791.316267473</v>
      </c>
      <c r="F120" s="6" t="n">
        <f aca="false">MIN(E120,ROUND(03_Initial_Recognition!$I$9/H120,2))</f>
        <v>47223.01</v>
      </c>
      <c r="G120" s="6" t="n">
        <f aca="false">MAX(0,E120-F120)</f>
        <v>755568.306267473</v>
      </c>
      <c r="H120" s="1" t="n">
        <f aca="false">DATEDIF(01_Lease_Master!$D$9,01_Lease_Master!$AJ$9,"m")+IF(DAY(01_Lease_Master!$AJ$9)&gt;=DAY(01_Lease_Master!$D$9),1,0)</f>
        <v>35</v>
      </c>
      <c r="I120" s="1" t="s">
        <v>153</v>
      </c>
      <c r="J120" s="1" t="str">
        <f aca="false">IF(ABS(G120-780491.56)&lt;=0.01,"PASS","CHECK")</f>
        <v>CHECK</v>
      </c>
    </row>
    <row r="121" customFormat="false" ht="15" hidden="false" customHeight="true" outlineLevel="0" collapsed="false">
      <c r="A121" s="1" t="s">
        <v>84</v>
      </c>
      <c r="B121" s="1" t="n">
        <v>0</v>
      </c>
      <c r="C121" s="1" t="n">
        <v>20</v>
      </c>
      <c r="D121" s="7" t="n">
        <v>46249</v>
      </c>
      <c r="E121" s="6" t="n">
        <f aca="false">G120</f>
        <v>755568.306267473</v>
      </c>
      <c r="F121" s="6" t="n">
        <f aca="false">MIN(E121,ROUND(03_Initial_Recognition!$I$9/H121,2))</f>
        <v>47223.01</v>
      </c>
      <c r="G121" s="6" t="n">
        <f aca="false">MAX(0,E121-F121)</f>
        <v>708345.296267473</v>
      </c>
      <c r="H121" s="1" t="n">
        <f aca="false">DATEDIF(01_Lease_Master!$D$9,01_Lease_Master!$AJ$9,"m")+IF(DAY(01_Lease_Master!$AJ$9)&gt;=DAY(01_Lease_Master!$D$9),1,0)</f>
        <v>35</v>
      </c>
      <c r="I121" s="1" t="s">
        <v>153</v>
      </c>
      <c r="J121" s="1" t="str">
        <f aca="false">IF(ABS(G121-734580.3)&lt;=0.01,"PASS","CHECK")</f>
        <v>CHECK</v>
      </c>
    </row>
    <row r="122" customFormat="false" ht="15" hidden="false" customHeight="true" outlineLevel="0" collapsed="false">
      <c r="A122" s="1" t="s">
        <v>84</v>
      </c>
      <c r="B122" s="1" t="s">
        <v>145</v>
      </c>
      <c r="C122" s="1" t="s">
        <v>145</v>
      </c>
      <c r="D122" s="7" t="n">
        <v>46271</v>
      </c>
      <c r="G122" s="6" t="n">
        <f aca="false">IFERROR(LOOKUP(2,1/(A$6:A121=A122),G$6:G121),SUMIF(03_Initial_Recognition!A:A,A122,03_Initial_Recognition!I:I))</f>
        <v>708345.296267473</v>
      </c>
      <c r="J122" s="1" t="str">
        <f aca="false">IF(ABS(G122-734580.3)&lt;=0.01,"PASS","CHECK")</f>
        <v>CHECK</v>
      </c>
    </row>
    <row r="123" customFormat="false" ht="15" hidden="false" customHeight="true" outlineLevel="0" collapsed="false">
      <c r="A123" s="1" t="s">
        <v>88</v>
      </c>
      <c r="B123" s="1" t="n">
        <v>0</v>
      </c>
      <c r="C123" s="1" t="n">
        <v>1</v>
      </c>
      <c r="D123" s="7" t="n">
        <v>45108</v>
      </c>
      <c r="E123" s="6" t="n">
        <f aca="false">03_Initial_Recognition!$I$10</f>
        <v>5403624.96790098</v>
      </c>
      <c r="F123" s="6" t="n">
        <f aca="false">MIN(E123,ROUND(03_Initial_Recognition!$I$10/H123,2))</f>
        <v>90060.42</v>
      </c>
      <c r="G123" s="6" t="n">
        <f aca="false">MAX(0,E123-F123)</f>
        <v>5313564.54790098</v>
      </c>
      <c r="H123" s="1" t="n">
        <f aca="false">DATEDIF(01_Lease_Master!$D$10,01_Lease_Master!$AJ$10,"m")+IF(DAY(01_Lease_Master!$AJ$10)&gt;=DAY(01_Lease_Master!$D$10),1,0)</f>
        <v>60</v>
      </c>
      <c r="I123" s="1" t="s">
        <v>153</v>
      </c>
      <c r="J123" s="1" t="str">
        <f aca="false">IF(ABS(G123-5313564.55)&lt;=0.01,"PASS","CHECK")</f>
        <v>PASS</v>
      </c>
    </row>
    <row r="124" customFormat="false" ht="15" hidden="false" customHeight="true" outlineLevel="0" collapsed="false">
      <c r="A124" s="1" t="s">
        <v>88</v>
      </c>
      <c r="B124" s="1" t="n">
        <v>0</v>
      </c>
      <c r="C124" s="1" t="n">
        <v>2</v>
      </c>
      <c r="D124" s="7" t="n">
        <v>45139</v>
      </c>
      <c r="E124" s="6" t="n">
        <f aca="false">G123</f>
        <v>5313564.54790098</v>
      </c>
      <c r="F124" s="6" t="n">
        <f aca="false">MIN(E124,ROUND(03_Initial_Recognition!$I$10/H124,2))</f>
        <v>90060.42</v>
      </c>
      <c r="G124" s="6" t="n">
        <f aca="false">MAX(0,E124-F124)</f>
        <v>5223504.12790098</v>
      </c>
      <c r="H124" s="1" t="n">
        <f aca="false">DATEDIF(01_Lease_Master!$D$10,01_Lease_Master!$AJ$10,"m")+IF(DAY(01_Lease_Master!$AJ$10)&gt;=DAY(01_Lease_Master!$D$10),1,0)</f>
        <v>60</v>
      </c>
      <c r="I124" s="1" t="s">
        <v>153</v>
      </c>
      <c r="J124" s="1" t="str">
        <f aca="false">IF(ABS(G124-5223504.13)&lt;=0.01,"PASS","CHECK")</f>
        <v>PASS</v>
      </c>
    </row>
    <row r="125" customFormat="false" ht="15" hidden="false" customHeight="true" outlineLevel="0" collapsed="false">
      <c r="A125" s="1" t="s">
        <v>88</v>
      </c>
      <c r="B125" s="1" t="n">
        <v>0</v>
      </c>
      <c r="C125" s="1" t="n">
        <v>3</v>
      </c>
      <c r="D125" s="7" t="n">
        <v>45170</v>
      </c>
      <c r="E125" s="6" t="n">
        <f aca="false">G124</f>
        <v>5223504.12790098</v>
      </c>
      <c r="F125" s="6" t="n">
        <f aca="false">MIN(E125,ROUND(03_Initial_Recognition!$I$10/H125,2))</f>
        <v>90060.42</v>
      </c>
      <c r="G125" s="6" t="n">
        <f aca="false">MAX(0,E125-F125)</f>
        <v>5133443.70790098</v>
      </c>
      <c r="H125" s="1" t="n">
        <f aca="false">DATEDIF(01_Lease_Master!$D$10,01_Lease_Master!$AJ$10,"m")+IF(DAY(01_Lease_Master!$AJ$10)&gt;=DAY(01_Lease_Master!$D$10),1,0)</f>
        <v>60</v>
      </c>
      <c r="I125" s="1" t="s">
        <v>153</v>
      </c>
      <c r="J125" s="1" t="str">
        <f aca="false">IF(ABS(G125-5133443.71)&lt;=0.01,"PASS","CHECK")</f>
        <v>PASS</v>
      </c>
    </row>
    <row r="126" customFormat="false" ht="15" hidden="false" customHeight="true" outlineLevel="0" collapsed="false">
      <c r="A126" s="1" t="s">
        <v>88</v>
      </c>
      <c r="B126" s="1" t="n">
        <v>0</v>
      </c>
      <c r="C126" s="1" t="n">
        <v>4</v>
      </c>
      <c r="D126" s="7" t="n">
        <v>45200</v>
      </c>
      <c r="E126" s="6" t="n">
        <f aca="false">G125</f>
        <v>5133443.70790098</v>
      </c>
      <c r="F126" s="6" t="n">
        <f aca="false">MIN(E126,ROUND(03_Initial_Recognition!$I$10/H126,2))</f>
        <v>90060.42</v>
      </c>
      <c r="G126" s="6" t="n">
        <f aca="false">MAX(0,E126-F126)</f>
        <v>5043383.28790098</v>
      </c>
      <c r="H126" s="1" t="n">
        <f aca="false">DATEDIF(01_Lease_Master!$D$10,01_Lease_Master!$AJ$10,"m")+IF(DAY(01_Lease_Master!$AJ$10)&gt;=DAY(01_Lease_Master!$D$10),1,0)</f>
        <v>60</v>
      </c>
      <c r="I126" s="1" t="s">
        <v>153</v>
      </c>
      <c r="J126" s="1" t="str">
        <f aca="false">IF(ABS(G126-5043383.29)&lt;=0.01,"PASS","CHECK")</f>
        <v>PASS</v>
      </c>
    </row>
    <row r="127" customFormat="false" ht="15" hidden="false" customHeight="true" outlineLevel="0" collapsed="false">
      <c r="A127" s="1" t="s">
        <v>88</v>
      </c>
      <c r="B127" s="1" t="n">
        <v>0</v>
      </c>
      <c r="C127" s="1" t="n">
        <v>5</v>
      </c>
      <c r="D127" s="7" t="n">
        <v>45231</v>
      </c>
      <c r="E127" s="6" t="n">
        <f aca="false">G126</f>
        <v>5043383.28790098</v>
      </c>
      <c r="F127" s="6" t="n">
        <f aca="false">MIN(E127,ROUND(03_Initial_Recognition!$I$10/H127,2))</f>
        <v>90060.42</v>
      </c>
      <c r="G127" s="6" t="n">
        <f aca="false">MAX(0,E127-F127)</f>
        <v>4953322.86790098</v>
      </c>
      <c r="H127" s="1" t="n">
        <f aca="false">DATEDIF(01_Lease_Master!$D$10,01_Lease_Master!$AJ$10,"m")+IF(DAY(01_Lease_Master!$AJ$10)&gt;=DAY(01_Lease_Master!$D$10),1,0)</f>
        <v>60</v>
      </c>
      <c r="I127" s="1" t="s">
        <v>153</v>
      </c>
      <c r="J127" s="1" t="str">
        <f aca="false">IF(ABS(G127-4953322.87)&lt;=0.01,"PASS","CHECK")</f>
        <v>PASS</v>
      </c>
    </row>
    <row r="128" customFormat="false" ht="15" hidden="false" customHeight="true" outlineLevel="0" collapsed="false">
      <c r="A128" s="1" t="s">
        <v>88</v>
      </c>
      <c r="B128" s="1" t="n">
        <v>0</v>
      </c>
      <c r="C128" s="1" t="n">
        <v>6</v>
      </c>
      <c r="D128" s="7" t="n">
        <v>45261</v>
      </c>
      <c r="E128" s="6" t="n">
        <f aca="false">G127</f>
        <v>4953322.86790098</v>
      </c>
      <c r="F128" s="6" t="n">
        <f aca="false">MIN(E128,ROUND(03_Initial_Recognition!$I$10/H128,2))</f>
        <v>90060.42</v>
      </c>
      <c r="G128" s="6" t="n">
        <f aca="false">MAX(0,E128-F128)</f>
        <v>4863262.44790098</v>
      </c>
      <c r="H128" s="1" t="n">
        <f aca="false">DATEDIF(01_Lease_Master!$D$10,01_Lease_Master!$AJ$10,"m")+IF(DAY(01_Lease_Master!$AJ$10)&gt;=DAY(01_Lease_Master!$D$10),1,0)</f>
        <v>60</v>
      </c>
      <c r="I128" s="1" t="s">
        <v>153</v>
      </c>
      <c r="J128" s="1" t="str">
        <f aca="false">IF(ABS(G128-4863262.45)&lt;=0.01,"PASS","CHECK")</f>
        <v>PASS</v>
      </c>
    </row>
    <row r="129" customFormat="false" ht="15" hidden="false" customHeight="true" outlineLevel="0" collapsed="false">
      <c r="A129" s="1" t="s">
        <v>88</v>
      </c>
      <c r="B129" s="1" t="n">
        <v>0</v>
      </c>
      <c r="C129" s="1" t="n">
        <v>7</v>
      </c>
      <c r="D129" s="7" t="n">
        <v>45292</v>
      </c>
      <c r="E129" s="6" t="n">
        <f aca="false">G128</f>
        <v>4863262.44790098</v>
      </c>
      <c r="F129" s="6" t="n">
        <f aca="false">MIN(E129,ROUND(03_Initial_Recognition!$I$10/H129,2))</f>
        <v>90060.42</v>
      </c>
      <c r="G129" s="6" t="n">
        <f aca="false">MAX(0,E129-F129)</f>
        <v>4773202.02790098</v>
      </c>
      <c r="H129" s="1" t="n">
        <f aca="false">DATEDIF(01_Lease_Master!$D$10,01_Lease_Master!$AJ$10,"m")+IF(DAY(01_Lease_Master!$AJ$10)&gt;=DAY(01_Lease_Master!$D$10),1,0)</f>
        <v>60</v>
      </c>
      <c r="I129" s="1" t="s">
        <v>153</v>
      </c>
      <c r="J129" s="1" t="str">
        <f aca="false">IF(ABS(G129-4773202.03)&lt;=0.01,"PASS","CHECK")</f>
        <v>PASS</v>
      </c>
    </row>
    <row r="130" customFormat="false" ht="15" hidden="false" customHeight="true" outlineLevel="0" collapsed="false">
      <c r="A130" s="1" t="s">
        <v>88</v>
      </c>
      <c r="B130" s="1" t="n">
        <v>0</v>
      </c>
      <c r="C130" s="1" t="n">
        <v>8</v>
      </c>
      <c r="D130" s="7" t="n">
        <v>45323</v>
      </c>
      <c r="E130" s="6" t="n">
        <f aca="false">G129</f>
        <v>4773202.02790098</v>
      </c>
      <c r="F130" s="6" t="n">
        <f aca="false">MIN(E130,ROUND(03_Initial_Recognition!$I$10/H130,2))</f>
        <v>90060.42</v>
      </c>
      <c r="G130" s="6" t="n">
        <f aca="false">MAX(0,E130-F130)</f>
        <v>4683141.60790098</v>
      </c>
      <c r="H130" s="1" t="n">
        <f aca="false">DATEDIF(01_Lease_Master!$D$10,01_Lease_Master!$AJ$10,"m")+IF(DAY(01_Lease_Master!$AJ$10)&gt;=DAY(01_Lease_Master!$D$10),1,0)</f>
        <v>60</v>
      </c>
      <c r="I130" s="1" t="s">
        <v>153</v>
      </c>
      <c r="J130" s="1" t="str">
        <f aca="false">IF(ABS(G130-4683141.61)&lt;=0.01,"PASS","CHECK")</f>
        <v>PASS</v>
      </c>
    </row>
    <row r="131" customFormat="false" ht="15" hidden="false" customHeight="true" outlineLevel="0" collapsed="false">
      <c r="A131" s="1" t="s">
        <v>88</v>
      </c>
      <c r="B131" s="1" t="n">
        <v>0</v>
      </c>
      <c r="C131" s="1" t="n">
        <v>9</v>
      </c>
      <c r="D131" s="7" t="n">
        <v>45352</v>
      </c>
      <c r="E131" s="6" t="n">
        <f aca="false">G130</f>
        <v>4683141.60790098</v>
      </c>
      <c r="F131" s="6" t="n">
        <f aca="false">MIN(E131,ROUND(03_Initial_Recognition!$I$10/H131,2))</f>
        <v>90060.42</v>
      </c>
      <c r="G131" s="6" t="n">
        <f aca="false">MAX(0,E131-F131)</f>
        <v>4593081.18790098</v>
      </c>
      <c r="H131" s="1" t="n">
        <f aca="false">DATEDIF(01_Lease_Master!$D$10,01_Lease_Master!$AJ$10,"m")+IF(DAY(01_Lease_Master!$AJ$10)&gt;=DAY(01_Lease_Master!$D$10),1,0)</f>
        <v>60</v>
      </c>
      <c r="I131" s="1" t="s">
        <v>153</v>
      </c>
      <c r="J131" s="1" t="str">
        <f aca="false">IF(ABS(G131-4593081.19)&lt;=0.01,"PASS","CHECK")</f>
        <v>PASS</v>
      </c>
    </row>
    <row r="132" customFormat="false" ht="15" hidden="false" customHeight="true" outlineLevel="0" collapsed="false">
      <c r="A132" s="1" t="s">
        <v>88</v>
      </c>
      <c r="B132" s="1" t="n">
        <v>0</v>
      </c>
      <c r="C132" s="1" t="n">
        <v>10</v>
      </c>
      <c r="D132" s="7" t="n">
        <v>45383</v>
      </c>
      <c r="E132" s="6" t="n">
        <f aca="false">G131</f>
        <v>4593081.18790098</v>
      </c>
      <c r="F132" s="6" t="n">
        <f aca="false">MIN(E132,ROUND(03_Initial_Recognition!$I$10/H132,2))</f>
        <v>90060.42</v>
      </c>
      <c r="G132" s="6" t="n">
        <f aca="false">MAX(0,E132-F132)</f>
        <v>4503020.76790098</v>
      </c>
      <c r="H132" s="1" t="n">
        <f aca="false">DATEDIF(01_Lease_Master!$D$10,01_Lease_Master!$AJ$10,"m")+IF(DAY(01_Lease_Master!$AJ$10)&gt;=DAY(01_Lease_Master!$D$10),1,0)</f>
        <v>60</v>
      </c>
      <c r="I132" s="1" t="s">
        <v>153</v>
      </c>
      <c r="J132" s="1" t="str">
        <f aca="false">IF(ABS(G132-4503020.77)&lt;=0.01,"PASS","CHECK")</f>
        <v>PASS</v>
      </c>
    </row>
    <row r="133" customFormat="false" ht="15" hidden="false" customHeight="true" outlineLevel="0" collapsed="false">
      <c r="A133" s="1" t="s">
        <v>88</v>
      </c>
      <c r="B133" s="1" t="n">
        <v>0</v>
      </c>
      <c r="C133" s="1" t="n">
        <v>11</v>
      </c>
      <c r="D133" s="7" t="n">
        <v>45413</v>
      </c>
      <c r="E133" s="6" t="n">
        <f aca="false">G132</f>
        <v>4503020.76790098</v>
      </c>
      <c r="F133" s="6" t="n">
        <f aca="false">MIN(E133,ROUND(03_Initial_Recognition!$I$10/H133,2))</f>
        <v>90060.42</v>
      </c>
      <c r="G133" s="6" t="n">
        <f aca="false">MAX(0,E133-F133)</f>
        <v>4412960.34790098</v>
      </c>
      <c r="H133" s="1" t="n">
        <f aca="false">DATEDIF(01_Lease_Master!$D$10,01_Lease_Master!$AJ$10,"m")+IF(DAY(01_Lease_Master!$AJ$10)&gt;=DAY(01_Lease_Master!$D$10),1,0)</f>
        <v>60</v>
      </c>
      <c r="I133" s="1" t="s">
        <v>153</v>
      </c>
      <c r="J133" s="1" t="str">
        <f aca="false">IF(ABS(G133-4412960.35)&lt;=0.01,"PASS","CHECK")</f>
        <v>PASS</v>
      </c>
    </row>
    <row r="134" customFormat="false" ht="15" hidden="false" customHeight="true" outlineLevel="0" collapsed="false">
      <c r="A134" s="1" t="s">
        <v>88</v>
      </c>
      <c r="B134" s="1" t="n">
        <v>0</v>
      </c>
      <c r="C134" s="1" t="n">
        <v>12</v>
      </c>
      <c r="D134" s="7" t="n">
        <v>45444</v>
      </c>
      <c r="E134" s="6" t="n">
        <f aca="false">G133</f>
        <v>4412960.34790098</v>
      </c>
      <c r="F134" s="6" t="n">
        <f aca="false">MIN(E134,ROUND(03_Initial_Recognition!$I$10/H134,2))</f>
        <v>90060.42</v>
      </c>
      <c r="G134" s="6" t="n">
        <f aca="false">MAX(0,E134-F134)</f>
        <v>4322899.92790098</v>
      </c>
      <c r="H134" s="1" t="n">
        <f aca="false">DATEDIF(01_Lease_Master!$D$10,01_Lease_Master!$AJ$10,"m")+IF(DAY(01_Lease_Master!$AJ$10)&gt;=DAY(01_Lease_Master!$D$10),1,0)</f>
        <v>60</v>
      </c>
      <c r="I134" s="1" t="s">
        <v>153</v>
      </c>
      <c r="J134" s="1" t="str">
        <f aca="false">IF(ABS(G134-4322899.93)&lt;=0.01,"PASS","CHECK")</f>
        <v>PASS</v>
      </c>
    </row>
    <row r="135" customFormat="false" ht="15" hidden="false" customHeight="true" outlineLevel="0" collapsed="false">
      <c r="A135" s="1" t="s">
        <v>88</v>
      </c>
      <c r="B135" s="1" t="n">
        <v>0</v>
      </c>
      <c r="C135" s="1" t="n">
        <v>13</v>
      </c>
      <c r="D135" s="7" t="n">
        <v>45474</v>
      </c>
      <c r="E135" s="6" t="n">
        <f aca="false">G134</f>
        <v>4322899.92790098</v>
      </c>
      <c r="F135" s="6" t="n">
        <f aca="false">MIN(E135,ROUND(03_Initial_Recognition!$I$10/H135,2))</f>
        <v>90060.42</v>
      </c>
      <c r="G135" s="6" t="n">
        <f aca="false">MAX(0,E135-F135)</f>
        <v>4232839.50790098</v>
      </c>
      <c r="H135" s="1" t="n">
        <f aca="false">DATEDIF(01_Lease_Master!$D$10,01_Lease_Master!$AJ$10,"m")+IF(DAY(01_Lease_Master!$AJ$10)&gt;=DAY(01_Lease_Master!$D$10),1,0)</f>
        <v>60</v>
      </c>
      <c r="I135" s="1" t="s">
        <v>153</v>
      </c>
      <c r="J135" s="1" t="str">
        <f aca="false">IF(ABS(G135-4232839.51)&lt;=0.01,"PASS","CHECK")</f>
        <v>PASS</v>
      </c>
    </row>
    <row r="136" customFormat="false" ht="15" hidden="false" customHeight="true" outlineLevel="0" collapsed="false">
      <c r="A136" s="1" t="s">
        <v>88</v>
      </c>
      <c r="B136" s="1" t="n">
        <v>0</v>
      </c>
      <c r="C136" s="1" t="n">
        <v>14</v>
      </c>
      <c r="D136" s="7" t="n">
        <v>45505</v>
      </c>
      <c r="E136" s="6" t="n">
        <f aca="false">G135</f>
        <v>4232839.50790098</v>
      </c>
      <c r="F136" s="6" t="n">
        <f aca="false">MIN(E136,ROUND(03_Initial_Recognition!$I$10/H136,2))</f>
        <v>90060.42</v>
      </c>
      <c r="G136" s="6" t="n">
        <f aca="false">MAX(0,E136-F136)</f>
        <v>4142779.08790098</v>
      </c>
      <c r="H136" s="1" t="n">
        <f aca="false">DATEDIF(01_Lease_Master!$D$10,01_Lease_Master!$AJ$10,"m")+IF(DAY(01_Lease_Master!$AJ$10)&gt;=DAY(01_Lease_Master!$D$10),1,0)</f>
        <v>60</v>
      </c>
      <c r="I136" s="1" t="s">
        <v>153</v>
      </c>
      <c r="J136" s="1" t="str">
        <f aca="false">IF(ABS(G136-4142779.09)&lt;=0.01,"PASS","CHECK")</f>
        <v>PASS</v>
      </c>
    </row>
    <row r="137" customFormat="false" ht="15" hidden="false" customHeight="true" outlineLevel="0" collapsed="false">
      <c r="A137" s="1" t="s">
        <v>88</v>
      </c>
      <c r="B137" s="1" t="n">
        <v>0</v>
      </c>
      <c r="C137" s="1" t="n">
        <v>15</v>
      </c>
      <c r="D137" s="7" t="n">
        <v>45536</v>
      </c>
      <c r="E137" s="6" t="n">
        <f aca="false">G136</f>
        <v>4142779.08790098</v>
      </c>
      <c r="F137" s="6" t="n">
        <f aca="false">MIN(E137,ROUND(03_Initial_Recognition!$I$10/H137,2))</f>
        <v>90060.42</v>
      </c>
      <c r="G137" s="6" t="n">
        <f aca="false">MAX(0,E137-F137)</f>
        <v>4052718.66790098</v>
      </c>
      <c r="H137" s="1" t="n">
        <f aca="false">DATEDIF(01_Lease_Master!$D$10,01_Lease_Master!$AJ$10,"m")+IF(DAY(01_Lease_Master!$AJ$10)&gt;=DAY(01_Lease_Master!$D$10),1,0)</f>
        <v>60</v>
      </c>
      <c r="I137" s="1" t="s">
        <v>153</v>
      </c>
      <c r="J137" s="1" t="str">
        <f aca="false">IF(ABS(G137-4052718.67)&lt;=0.01,"PASS","CHECK")</f>
        <v>PASS</v>
      </c>
    </row>
    <row r="138" customFormat="false" ht="15" hidden="false" customHeight="true" outlineLevel="0" collapsed="false">
      <c r="A138" s="1" t="s">
        <v>88</v>
      </c>
      <c r="B138" s="1" t="n">
        <v>0</v>
      </c>
      <c r="C138" s="1" t="n">
        <v>16</v>
      </c>
      <c r="D138" s="7" t="n">
        <v>45566</v>
      </c>
      <c r="E138" s="6" t="n">
        <f aca="false">G137</f>
        <v>4052718.66790098</v>
      </c>
      <c r="F138" s="6" t="n">
        <f aca="false">MIN(E138,ROUND(03_Initial_Recognition!$I$10/H138,2))</f>
        <v>90060.42</v>
      </c>
      <c r="G138" s="6" t="n">
        <f aca="false">MAX(0,E138-F138)</f>
        <v>3962658.24790098</v>
      </c>
      <c r="H138" s="1" t="n">
        <f aca="false">DATEDIF(01_Lease_Master!$D$10,01_Lease_Master!$AJ$10,"m")+IF(DAY(01_Lease_Master!$AJ$10)&gt;=DAY(01_Lease_Master!$D$10),1,0)</f>
        <v>60</v>
      </c>
      <c r="I138" s="1" t="s">
        <v>153</v>
      </c>
      <c r="J138" s="1" t="str">
        <f aca="false">IF(ABS(G138-3962658.25)&lt;=0.01,"PASS","CHECK")</f>
        <v>PASS</v>
      </c>
    </row>
    <row r="139" customFormat="false" ht="15" hidden="false" customHeight="true" outlineLevel="0" collapsed="false">
      <c r="A139" s="1" t="s">
        <v>88</v>
      </c>
      <c r="B139" s="1" t="n">
        <v>0</v>
      </c>
      <c r="C139" s="1" t="n">
        <v>17</v>
      </c>
      <c r="D139" s="7" t="n">
        <v>45597</v>
      </c>
      <c r="E139" s="6" t="n">
        <f aca="false">G138</f>
        <v>3962658.24790098</v>
      </c>
      <c r="F139" s="6" t="n">
        <f aca="false">MIN(E139,ROUND(03_Initial_Recognition!$I$10/H139,2))</f>
        <v>90060.42</v>
      </c>
      <c r="G139" s="6" t="n">
        <f aca="false">MAX(0,E139-F139)</f>
        <v>3872597.82790098</v>
      </c>
      <c r="H139" s="1" t="n">
        <f aca="false">DATEDIF(01_Lease_Master!$D$10,01_Lease_Master!$AJ$10,"m")+IF(DAY(01_Lease_Master!$AJ$10)&gt;=DAY(01_Lease_Master!$D$10),1,0)</f>
        <v>60</v>
      </c>
      <c r="I139" s="1" t="s">
        <v>153</v>
      </c>
      <c r="J139" s="1" t="str">
        <f aca="false">IF(ABS(G139-3872597.83)&lt;=0.01,"PASS","CHECK")</f>
        <v>PASS</v>
      </c>
    </row>
    <row r="140" customFormat="false" ht="15" hidden="false" customHeight="true" outlineLevel="0" collapsed="false">
      <c r="A140" s="1" t="s">
        <v>88</v>
      </c>
      <c r="B140" s="1" t="n">
        <v>0</v>
      </c>
      <c r="C140" s="1" t="n">
        <v>18</v>
      </c>
      <c r="D140" s="7" t="n">
        <v>45627</v>
      </c>
      <c r="E140" s="6" t="n">
        <f aca="false">G139</f>
        <v>3872597.82790098</v>
      </c>
      <c r="F140" s="6" t="n">
        <f aca="false">MIN(E140,ROUND(03_Initial_Recognition!$I$10/H140,2))</f>
        <v>90060.42</v>
      </c>
      <c r="G140" s="6" t="n">
        <f aca="false">MAX(0,E140-F140)</f>
        <v>3782537.40790098</v>
      </c>
      <c r="H140" s="1" t="n">
        <f aca="false">DATEDIF(01_Lease_Master!$D$10,01_Lease_Master!$AJ$10,"m")+IF(DAY(01_Lease_Master!$AJ$10)&gt;=DAY(01_Lease_Master!$D$10),1,0)</f>
        <v>60</v>
      </c>
      <c r="I140" s="1" t="s">
        <v>153</v>
      </c>
      <c r="J140" s="1" t="str">
        <f aca="false">IF(ABS(G140-3782537.41)&lt;=0.01,"PASS","CHECK")</f>
        <v>PASS</v>
      </c>
    </row>
    <row r="141" customFormat="false" ht="15" hidden="false" customHeight="true" outlineLevel="0" collapsed="false">
      <c r="A141" s="1" t="s">
        <v>88</v>
      </c>
      <c r="B141" s="1" t="n">
        <v>0</v>
      </c>
      <c r="C141" s="1" t="n">
        <v>19</v>
      </c>
      <c r="D141" s="7" t="n">
        <v>45658</v>
      </c>
      <c r="E141" s="6" t="n">
        <f aca="false">G140</f>
        <v>3782537.40790098</v>
      </c>
      <c r="F141" s="6" t="n">
        <f aca="false">MIN(E141,ROUND(03_Initial_Recognition!$I$10/H141,2))</f>
        <v>90060.42</v>
      </c>
      <c r="G141" s="6" t="n">
        <f aca="false">MAX(0,E141-F141)</f>
        <v>3692476.98790098</v>
      </c>
      <c r="H141" s="1" t="n">
        <f aca="false">DATEDIF(01_Lease_Master!$D$10,01_Lease_Master!$AJ$10,"m")+IF(DAY(01_Lease_Master!$AJ$10)&gt;=DAY(01_Lease_Master!$D$10),1,0)</f>
        <v>60</v>
      </c>
      <c r="I141" s="1" t="s">
        <v>153</v>
      </c>
      <c r="J141" s="1" t="str">
        <f aca="false">IF(ABS(G141-3692476.99)&lt;=0.01,"PASS","CHECK")</f>
        <v>PASS</v>
      </c>
    </row>
    <row r="142" customFormat="false" ht="15" hidden="false" customHeight="true" outlineLevel="0" collapsed="false">
      <c r="A142" s="1" t="s">
        <v>88</v>
      </c>
      <c r="B142" s="1" t="n">
        <v>0</v>
      </c>
      <c r="C142" s="1" t="n">
        <v>20</v>
      </c>
      <c r="D142" s="7" t="n">
        <v>45689</v>
      </c>
      <c r="E142" s="6" t="n">
        <f aca="false">G141</f>
        <v>3692476.98790098</v>
      </c>
      <c r="F142" s="6" t="n">
        <f aca="false">MIN(E142,ROUND(03_Initial_Recognition!$I$10/H142,2))</f>
        <v>90060.42</v>
      </c>
      <c r="G142" s="6" t="n">
        <f aca="false">MAX(0,E142-F142)</f>
        <v>3602416.56790098</v>
      </c>
      <c r="H142" s="1" t="n">
        <f aca="false">DATEDIF(01_Lease_Master!$D$10,01_Lease_Master!$AJ$10,"m")+IF(DAY(01_Lease_Master!$AJ$10)&gt;=DAY(01_Lease_Master!$D$10),1,0)</f>
        <v>60</v>
      </c>
      <c r="I142" s="1" t="s">
        <v>153</v>
      </c>
      <c r="J142" s="1" t="str">
        <f aca="false">IF(ABS(G142-3602416.57)&lt;=0.01,"PASS","CHECK")</f>
        <v>PASS</v>
      </c>
    </row>
    <row r="143" customFormat="false" ht="15" hidden="false" customHeight="true" outlineLevel="0" collapsed="false">
      <c r="A143" s="1" t="s">
        <v>88</v>
      </c>
      <c r="B143" s="1" t="n">
        <v>0</v>
      </c>
      <c r="C143" s="1" t="n">
        <v>21</v>
      </c>
      <c r="D143" s="7" t="n">
        <v>45717</v>
      </c>
      <c r="E143" s="6" t="n">
        <f aca="false">G142</f>
        <v>3602416.56790098</v>
      </c>
      <c r="F143" s="6" t="n">
        <f aca="false">MIN(E143,ROUND(03_Initial_Recognition!$I$10/H143,2))</f>
        <v>90060.42</v>
      </c>
      <c r="G143" s="6" t="n">
        <f aca="false">MAX(0,E143-F143)</f>
        <v>3512356.14790098</v>
      </c>
      <c r="H143" s="1" t="n">
        <f aca="false">DATEDIF(01_Lease_Master!$D$10,01_Lease_Master!$AJ$10,"m")+IF(DAY(01_Lease_Master!$AJ$10)&gt;=DAY(01_Lease_Master!$D$10),1,0)</f>
        <v>60</v>
      </c>
      <c r="I143" s="1" t="s">
        <v>153</v>
      </c>
      <c r="J143" s="1" t="str">
        <f aca="false">IF(ABS(G143-3512356.15)&lt;=0.01,"PASS","CHECK")</f>
        <v>PASS</v>
      </c>
    </row>
    <row r="144" customFormat="false" ht="15" hidden="false" customHeight="true" outlineLevel="0" collapsed="false">
      <c r="A144" s="1" t="s">
        <v>88</v>
      </c>
      <c r="B144" s="1" t="n">
        <v>0</v>
      </c>
      <c r="C144" s="1" t="n">
        <v>22</v>
      </c>
      <c r="D144" s="7" t="n">
        <v>45748</v>
      </c>
      <c r="E144" s="6" t="n">
        <f aca="false">G143</f>
        <v>3512356.14790098</v>
      </c>
      <c r="F144" s="6" t="n">
        <f aca="false">MIN(E144,ROUND(03_Initial_Recognition!$I$10/H144,2))</f>
        <v>90060.42</v>
      </c>
      <c r="G144" s="6" t="n">
        <f aca="false">MAX(0,E144-F144)</f>
        <v>3422295.72790098</v>
      </c>
      <c r="H144" s="1" t="n">
        <f aca="false">DATEDIF(01_Lease_Master!$D$10,01_Lease_Master!$AJ$10,"m")+IF(DAY(01_Lease_Master!$AJ$10)&gt;=DAY(01_Lease_Master!$D$10),1,0)</f>
        <v>60</v>
      </c>
      <c r="I144" s="1" t="s">
        <v>153</v>
      </c>
      <c r="J144" s="1" t="str">
        <f aca="false">IF(ABS(G144-3422295.73)&lt;=0.01,"PASS","CHECK")</f>
        <v>PASS</v>
      </c>
    </row>
    <row r="145" customFormat="false" ht="15" hidden="false" customHeight="true" outlineLevel="0" collapsed="false">
      <c r="A145" s="1" t="s">
        <v>88</v>
      </c>
      <c r="B145" s="1" t="n">
        <v>0</v>
      </c>
      <c r="C145" s="1" t="n">
        <v>23</v>
      </c>
      <c r="D145" s="7" t="n">
        <v>45778</v>
      </c>
      <c r="E145" s="6" t="n">
        <f aca="false">G144</f>
        <v>3422295.72790098</v>
      </c>
      <c r="F145" s="6" t="n">
        <f aca="false">MIN(E145,ROUND(03_Initial_Recognition!$I$10/H145,2))</f>
        <v>90060.42</v>
      </c>
      <c r="G145" s="6" t="n">
        <f aca="false">MAX(0,E145-F145)</f>
        <v>3332235.30790098</v>
      </c>
      <c r="H145" s="1" t="n">
        <f aca="false">DATEDIF(01_Lease_Master!$D$10,01_Lease_Master!$AJ$10,"m")+IF(DAY(01_Lease_Master!$AJ$10)&gt;=DAY(01_Lease_Master!$D$10),1,0)</f>
        <v>60</v>
      </c>
      <c r="I145" s="1" t="s">
        <v>153</v>
      </c>
      <c r="J145" s="1" t="str">
        <f aca="false">IF(ABS(G145-3332235.31)&lt;=0.01,"PASS","CHECK")</f>
        <v>PASS</v>
      </c>
    </row>
    <row r="146" customFormat="false" ht="15" hidden="false" customHeight="true" outlineLevel="0" collapsed="false">
      <c r="A146" s="1" t="s">
        <v>88</v>
      </c>
      <c r="B146" s="1" t="n">
        <v>0</v>
      </c>
      <c r="C146" s="1" t="n">
        <v>24</v>
      </c>
      <c r="D146" s="7" t="n">
        <v>45809</v>
      </c>
      <c r="E146" s="6" t="n">
        <f aca="false">G145</f>
        <v>3332235.30790098</v>
      </c>
      <c r="F146" s="6" t="n">
        <f aca="false">MIN(E146,ROUND(03_Initial_Recognition!$I$10/H146,2))</f>
        <v>90060.42</v>
      </c>
      <c r="G146" s="6" t="n">
        <f aca="false">MAX(0,E146-F146)</f>
        <v>3242174.88790098</v>
      </c>
      <c r="H146" s="1" t="n">
        <f aca="false">DATEDIF(01_Lease_Master!$D$10,01_Lease_Master!$AJ$10,"m")+IF(DAY(01_Lease_Master!$AJ$10)&gt;=DAY(01_Lease_Master!$D$10),1,0)</f>
        <v>60</v>
      </c>
      <c r="I146" s="1" t="s">
        <v>153</v>
      </c>
      <c r="J146" s="1" t="str">
        <f aca="false">IF(ABS(G146-3242174.89)&lt;=0.01,"PASS","CHECK")</f>
        <v>PASS</v>
      </c>
    </row>
    <row r="147" customFormat="false" ht="15" hidden="false" customHeight="true" outlineLevel="0" collapsed="false">
      <c r="A147" s="1" t="s">
        <v>88</v>
      </c>
      <c r="B147" s="1" t="n">
        <v>0</v>
      </c>
      <c r="C147" s="1" t="n">
        <v>25</v>
      </c>
      <c r="D147" s="7" t="n">
        <v>45839</v>
      </c>
      <c r="E147" s="6" t="n">
        <f aca="false">G146</f>
        <v>3242174.88790098</v>
      </c>
      <c r="F147" s="6" t="n">
        <f aca="false">MIN(E147,ROUND(03_Initial_Recognition!$I$10/H147,2))</f>
        <v>90060.42</v>
      </c>
      <c r="G147" s="6" t="n">
        <f aca="false">MAX(0,E147-F147)</f>
        <v>3152114.46790098</v>
      </c>
      <c r="H147" s="1" t="n">
        <f aca="false">DATEDIF(01_Lease_Master!$D$10,01_Lease_Master!$AJ$10,"m")+IF(DAY(01_Lease_Master!$AJ$10)&gt;=DAY(01_Lease_Master!$D$10),1,0)</f>
        <v>60</v>
      </c>
      <c r="I147" s="1" t="s">
        <v>153</v>
      </c>
      <c r="J147" s="1" t="str">
        <f aca="false">IF(ABS(G147-3152114.47)&lt;=0.01,"PASS","CHECK")</f>
        <v>PASS</v>
      </c>
    </row>
    <row r="148" customFormat="false" ht="15" hidden="false" customHeight="true" outlineLevel="0" collapsed="false">
      <c r="A148" s="1" t="s">
        <v>88</v>
      </c>
      <c r="B148" s="1" t="n">
        <v>0</v>
      </c>
      <c r="C148" s="1" t="n">
        <v>26</v>
      </c>
      <c r="D148" s="7" t="n">
        <v>45870</v>
      </c>
      <c r="E148" s="6" t="n">
        <f aca="false">G147</f>
        <v>3152114.46790098</v>
      </c>
      <c r="F148" s="6" t="n">
        <f aca="false">MIN(E148,ROUND(03_Initial_Recognition!$I$10/H148,2))</f>
        <v>90060.42</v>
      </c>
      <c r="G148" s="6" t="n">
        <f aca="false">MAX(0,E148-F148)</f>
        <v>3062054.04790098</v>
      </c>
      <c r="H148" s="1" t="n">
        <f aca="false">DATEDIF(01_Lease_Master!$D$10,01_Lease_Master!$AJ$10,"m")+IF(DAY(01_Lease_Master!$AJ$10)&gt;=DAY(01_Lease_Master!$D$10),1,0)</f>
        <v>60</v>
      </c>
      <c r="I148" s="1" t="s">
        <v>153</v>
      </c>
      <c r="J148" s="1" t="str">
        <f aca="false">IF(ABS(G148-3062054.05)&lt;=0.01,"PASS","CHECK")</f>
        <v>PASS</v>
      </c>
    </row>
    <row r="149" customFormat="false" ht="15" hidden="false" customHeight="true" outlineLevel="0" collapsed="false">
      <c r="A149" s="1" t="s">
        <v>88</v>
      </c>
      <c r="B149" s="1" t="n">
        <v>0</v>
      </c>
      <c r="C149" s="1" t="n">
        <v>27</v>
      </c>
      <c r="D149" s="7" t="n">
        <v>45901</v>
      </c>
      <c r="E149" s="6" t="n">
        <f aca="false">G148</f>
        <v>3062054.04790098</v>
      </c>
      <c r="F149" s="6" t="n">
        <f aca="false">MIN(E149,ROUND(03_Initial_Recognition!$I$10/H149,2))</f>
        <v>90060.42</v>
      </c>
      <c r="G149" s="6" t="n">
        <f aca="false">MAX(0,E149-F149)</f>
        <v>2971993.62790098</v>
      </c>
      <c r="H149" s="1" t="n">
        <f aca="false">DATEDIF(01_Lease_Master!$D$10,01_Lease_Master!$AJ$10,"m")+IF(DAY(01_Lease_Master!$AJ$10)&gt;=DAY(01_Lease_Master!$D$10),1,0)</f>
        <v>60</v>
      </c>
      <c r="I149" s="1" t="s">
        <v>153</v>
      </c>
      <c r="J149" s="1" t="str">
        <f aca="false">IF(ABS(G149-2971993.63)&lt;=0.01,"PASS","CHECK")</f>
        <v>PASS</v>
      </c>
    </row>
    <row r="150" customFormat="false" ht="15" hidden="false" customHeight="true" outlineLevel="0" collapsed="false">
      <c r="A150" s="1" t="s">
        <v>88</v>
      </c>
      <c r="B150" s="1" t="n">
        <v>0</v>
      </c>
      <c r="C150" s="1" t="n">
        <v>28</v>
      </c>
      <c r="D150" s="7" t="n">
        <v>45931</v>
      </c>
      <c r="E150" s="6" t="n">
        <f aca="false">G149</f>
        <v>2971993.62790098</v>
      </c>
      <c r="F150" s="6" t="n">
        <f aca="false">MIN(E150,ROUND(03_Initial_Recognition!$I$10/H150,2))</f>
        <v>90060.42</v>
      </c>
      <c r="G150" s="6" t="n">
        <f aca="false">MAX(0,E150-F150)</f>
        <v>2881933.20790098</v>
      </c>
      <c r="H150" s="1" t="n">
        <f aca="false">DATEDIF(01_Lease_Master!$D$10,01_Lease_Master!$AJ$10,"m")+IF(DAY(01_Lease_Master!$AJ$10)&gt;=DAY(01_Lease_Master!$D$10),1,0)</f>
        <v>60</v>
      </c>
      <c r="I150" s="1" t="s">
        <v>153</v>
      </c>
      <c r="J150" s="1" t="str">
        <f aca="false">IF(ABS(G150-2881933.21)&lt;=0.01,"PASS","CHECK")</f>
        <v>PASS</v>
      </c>
    </row>
    <row r="151" customFormat="false" ht="15" hidden="false" customHeight="true" outlineLevel="0" collapsed="false">
      <c r="A151" s="1" t="s">
        <v>88</v>
      </c>
      <c r="B151" s="1" t="n">
        <v>0</v>
      </c>
      <c r="C151" s="1" t="n">
        <v>29</v>
      </c>
      <c r="D151" s="7" t="n">
        <v>45962</v>
      </c>
      <c r="E151" s="6" t="n">
        <f aca="false">G150</f>
        <v>2881933.20790098</v>
      </c>
      <c r="F151" s="6" t="n">
        <f aca="false">MIN(E151,ROUND(03_Initial_Recognition!$I$10/H151,2))</f>
        <v>90060.42</v>
      </c>
      <c r="G151" s="6" t="n">
        <f aca="false">MAX(0,E151-F151)</f>
        <v>2791872.78790098</v>
      </c>
      <c r="H151" s="1" t="n">
        <f aca="false">DATEDIF(01_Lease_Master!$D$10,01_Lease_Master!$AJ$10,"m")+IF(DAY(01_Lease_Master!$AJ$10)&gt;=DAY(01_Lease_Master!$D$10),1,0)</f>
        <v>60</v>
      </c>
      <c r="I151" s="1" t="s">
        <v>153</v>
      </c>
      <c r="J151" s="1" t="str">
        <f aca="false">IF(ABS(G151-2791872.79)&lt;=0.01,"PASS","CHECK")</f>
        <v>PASS</v>
      </c>
    </row>
    <row r="152" customFormat="false" ht="15" hidden="false" customHeight="true" outlineLevel="0" collapsed="false">
      <c r="A152" s="1" t="s">
        <v>88</v>
      </c>
      <c r="B152" s="1" t="n">
        <v>0</v>
      </c>
      <c r="C152" s="1" t="n">
        <v>30</v>
      </c>
      <c r="D152" s="7" t="n">
        <v>45992</v>
      </c>
      <c r="E152" s="6" t="n">
        <f aca="false">G151</f>
        <v>2791872.78790098</v>
      </c>
      <c r="F152" s="6" t="n">
        <f aca="false">MIN(E152,ROUND(03_Initial_Recognition!$I$10/H152,2))</f>
        <v>90060.42</v>
      </c>
      <c r="G152" s="6" t="n">
        <f aca="false">MAX(0,E152-F152)</f>
        <v>2701812.36790098</v>
      </c>
      <c r="H152" s="1" t="n">
        <f aca="false">DATEDIF(01_Lease_Master!$D$10,01_Lease_Master!$AJ$10,"m")+IF(DAY(01_Lease_Master!$AJ$10)&gt;=DAY(01_Lease_Master!$D$10),1,0)</f>
        <v>60</v>
      </c>
      <c r="I152" s="1" t="s">
        <v>153</v>
      </c>
      <c r="J152" s="1" t="str">
        <f aca="false">IF(ABS(G152-2701812.37)&lt;=0.01,"PASS","CHECK")</f>
        <v>PASS</v>
      </c>
    </row>
    <row r="153" customFormat="false" ht="15" hidden="false" customHeight="true" outlineLevel="0" collapsed="false">
      <c r="A153" s="1" t="s">
        <v>88</v>
      </c>
      <c r="B153" s="1" t="n">
        <v>0</v>
      </c>
      <c r="C153" s="1" t="n">
        <v>31</v>
      </c>
      <c r="D153" s="7" t="n">
        <v>46023</v>
      </c>
      <c r="E153" s="6" t="n">
        <f aca="false">G152</f>
        <v>2701812.36790098</v>
      </c>
      <c r="F153" s="6" t="n">
        <f aca="false">MIN(E153,ROUND(03_Initial_Recognition!$I$10/H153,2))</f>
        <v>90060.42</v>
      </c>
      <c r="G153" s="6" t="n">
        <f aca="false">MAX(0,E153-F153)</f>
        <v>2611751.94790098</v>
      </c>
      <c r="H153" s="1" t="n">
        <f aca="false">DATEDIF(01_Lease_Master!$D$10,01_Lease_Master!$AJ$10,"m")+IF(DAY(01_Lease_Master!$AJ$10)&gt;=DAY(01_Lease_Master!$D$10),1,0)</f>
        <v>60</v>
      </c>
      <c r="I153" s="1" t="s">
        <v>153</v>
      </c>
      <c r="J153" s="1" t="str">
        <f aca="false">IF(ABS(G153-2611751.95)&lt;=0.01,"PASS","CHECK")</f>
        <v>PASS</v>
      </c>
    </row>
    <row r="154" customFormat="false" ht="15" hidden="false" customHeight="true" outlineLevel="0" collapsed="false">
      <c r="A154" s="1" t="s">
        <v>88</v>
      </c>
      <c r="B154" s="1" t="n">
        <v>0</v>
      </c>
      <c r="C154" s="1" t="n">
        <v>32</v>
      </c>
      <c r="D154" s="7" t="n">
        <v>46054</v>
      </c>
      <c r="E154" s="6" t="n">
        <f aca="false">G153</f>
        <v>2611751.94790098</v>
      </c>
      <c r="F154" s="6" t="n">
        <f aca="false">MIN(E154,ROUND(03_Initial_Recognition!$I$10/H154,2))</f>
        <v>90060.42</v>
      </c>
      <c r="G154" s="6" t="n">
        <f aca="false">MAX(0,E154-F154)</f>
        <v>2521691.52790098</v>
      </c>
      <c r="H154" s="1" t="n">
        <f aca="false">DATEDIF(01_Lease_Master!$D$10,01_Lease_Master!$AJ$10,"m")+IF(DAY(01_Lease_Master!$AJ$10)&gt;=DAY(01_Lease_Master!$D$10),1,0)</f>
        <v>60</v>
      </c>
      <c r="I154" s="1" t="s">
        <v>153</v>
      </c>
      <c r="J154" s="1" t="str">
        <f aca="false">IF(ABS(G154-2521691.53)&lt;=0.01,"PASS","CHECK")</f>
        <v>PASS</v>
      </c>
    </row>
    <row r="155" customFormat="false" ht="15" hidden="false" customHeight="true" outlineLevel="0" collapsed="false">
      <c r="A155" s="1" t="s">
        <v>88</v>
      </c>
      <c r="B155" s="1" t="n">
        <v>0</v>
      </c>
      <c r="C155" s="1" t="n">
        <v>33</v>
      </c>
      <c r="D155" s="7" t="n">
        <v>46082</v>
      </c>
      <c r="E155" s="6" t="n">
        <f aca="false">G154</f>
        <v>2521691.52790098</v>
      </c>
      <c r="F155" s="6" t="n">
        <f aca="false">MIN(E155,ROUND(03_Initial_Recognition!$I$10/H155,2))</f>
        <v>90060.42</v>
      </c>
      <c r="G155" s="6" t="n">
        <f aca="false">MAX(0,E155-F155)</f>
        <v>2431631.10790098</v>
      </c>
      <c r="H155" s="1" t="n">
        <f aca="false">DATEDIF(01_Lease_Master!$D$10,01_Lease_Master!$AJ$10,"m")+IF(DAY(01_Lease_Master!$AJ$10)&gt;=DAY(01_Lease_Master!$D$10),1,0)</f>
        <v>60</v>
      </c>
      <c r="I155" s="1" t="s">
        <v>153</v>
      </c>
      <c r="J155" s="1" t="str">
        <f aca="false">IF(ABS(G155-2431631.11)&lt;=0.01,"PASS","CHECK")</f>
        <v>PASS</v>
      </c>
    </row>
    <row r="156" customFormat="false" ht="15" hidden="false" customHeight="true" outlineLevel="0" collapsed="false">
      <c r="A156" s="1" t="s">
        <v>88</v>
      </c>
      <c r="B156" s="1" t="n">
        <v>0</v>
      </c>
      <c r="C156" s="1" t="n">
        <v>34</v>
      </c>
      <c r="D156" s="7" t="n">
        <v>46113</v>
      </c>
      <c r="E156" s="6" t="n">
        <f aca="false">G155</f>
        <v>2431631.10790098</v>
      </c>
      <c r="F156" s="6" t="n">
        <f aca="false">MIN(E156,ROUND(03_Initial_Recognition!$I$10/H156,2))</f>
        <v>90060.42</v>
      </c>
      <c r="G156" s="6" t="n">
        <f aca="false">MAX(0,E156-F156)</f>
        <v>2341570.68790098</v>
      </c>
      <c r="H156" s="1" t="n">
        <f aca="false">DATEDIF(01_Lease_Master!$D$10,01_Lease_Master!$AJ$10,"m")+IF(DAY(01_Lease_Master!$AJ$10)&gt;=DAY(01_Lease_Master!$D$10),1,0)</f>
        <v>60</v>
      </c>
      <c r="I156" s="1" t="s">
        <v>153</v>
      </c>
      <c r="J156" s="1" t="str">
        <f aca="false">IF(ABS(G156-2341570.69)&lt;=0.01,"PASS","CHECK")</f>
        <v>PASS</v>
      </c>
    </row>
    <row r="157" customFormat="false" ht="15" hidden="false" customHeight="true" outlineLevel="0" collapsed="false">
      <c r="A157" s="1" t="s">
        <v>88</v>
      </c>
      <c r="B157" s="1" t="n">
        <v>0</v>
      </c>
      <c r="C157" s="1" t="n">
        <v>35</v>
      </c>
      <c r="D157" s="7" t="n">
        <v>46143</v>
      </c>
      <c r="E157" s="6" t="n">
        <f aca="false">G156</f>
        <v>2341570.68790098</v>
      </c>
      <c r="F157" s="6" t="n">
        <f aca="false">MIN(E157,ROUND(03_Initial_Recognition!$I$10/H157,2))</f>
        <v>90060.42</v>
      </c>
      <c r="G157" s="6" t="n">
        <f aca="false">MAX(0,E157-F157)</f>
        <v>2251510.26790098</v>
      </c>
      <c r="H157" s="1" t="n">
        <f aca="false">DATEDIF(01_Lease_Master!$D$10,01_Lease_Master!$AJ$10,"m")+IF(DAY(01_Lease_Master!$AJ$10)&gt;=DAY(01_Lease_Master!$D$10),1,0)</f>
        <v>60</v>
      </c>
      <c r="I157" s="1" t="s">
        <v>153</v>
      </c>
      <c r="J157" s="1" t="str">
        <f aca="false">IF(ABS(G157-2251510.27)&lt;=0.01,"PASS","CHECK")</f>
        <v>PASS</v>
      </c>
    </row>
    <row r="158" customFormat="false" ht="15" hidden="false" customHeight="true" outlineLevel="0" collapsed="false">
      <c r="A158" s="1" t="s">
        <v>88</v>
      </c>
      <c r="B158" s="1" t="n">
        <v>0</v>
      </c>
      <c r="C158" s="1" t="n">
        <v>36</v>
      </c>
      <c r="D158" s="7" t="n">
        <v>46174</v>
      </c>
      <c r="E158" s="6" t="n">
        <f aca="false">G157</f>
        <v>2251510.26790098</v>
      </c>
      <c r="F158" s="6" t="n">
        <f aca="false">MIN(E158,ROUND(03_Initial_Recognition!$I$10/H158,2))</f>
        <v>90060.42</v>
      </c>
      <c r="G158" s="6" t="n">
        <f aca="false">MAX(0,E158-F158)</f>
        <v>2161449.84790098</v>
      </c>
      <c r="H158" s="1" t="n">
        <f aca="false">DATEDIF(01_Lease_Master!$D$10,01_Lease_Master!$AJ$10,"m")+IF(DAY(01_Lease_Master!$AJ$10)&gt;=DAY(01_Lease_Master!$D$10),1,0)</f>
        <v>60</v>
      </c>
      <c r="I158" s="1" t="s">
        <v>153</v>
      </c>
      <c r="J158" s="1" t="str">
        <f aca="false">IF(ABS(G158-2161449.85)&lt;=0.01,"PASS","CHECK")</f>
        <v>PASS</v>
      </c>
    </row>
    <row r="159" customFormat="false" ht="15" hidden="false" customHeight="true" outlineLevel="0" collapsed="false">
      <c r="A159" s="1" t="s">
        <v>88</v>
      </c>
      <c r="B159" s="1" t="n">
        <v>0</v>
      </c>
      <c r="C159" s="1" t="n">
        <v>37</v>
      </c>
      <c r="D159" s="7" t="n">
        <v>46204</v>
      </c>
      <c r="E159" s="6" t="n">
        <f aca="false">G158</f>
        <v>2161449.84790098</v>
      </c>
      <c r="F159" s="6" t="n">
        <f aca="false">MIN(E159,ROUND(03_Initial_Recognition!$I$10/H159,2))</f>
        <v>90060.42</v>
      </c>
      <c r="G159" s="6" t="n">
        <f aca="false">MAX(0,E159-F159)</f>
        <v>2071389.42790098</v>
      </c>
      <c r="H159" s="1" t="n">
        <f aca="false">DATEDIF(01_Lease_Master!$D$10,01_Lease_Master!$AJ$10,"m")+IF(DAY(01_Lease_Master!$AJ$10)&gt;=DAY(01_Lease_Master!$D$10),1,0)</f>
        <v>60</v>
      </c>
      <c r="I159" s="1" t="s">
        <v>153</v>
      </c>
      <c r="J159" s="1" t="str">
        <f aca="false">IF(ABS(G159-2071389.43)&lt;=0.01,"PASS","CHECK")</f>
        <v>PASS</v>
      </c>
    </row>
    <row r="160" customFormat="false" ht="15" hidden="false" customHeight="true" outlineLevel="0" collapsed="false">
      <c r="A160" s="1" t="s">
        <v>88</v>
      </c>
      <c r="B160" s="1" t="n">
        <v>0</v>
      </c>
      <c r="C160" s="1" t="n">
        <v>38</v>
      </c>
      <c r="D160" s="7" t="n">
        <v>46235</v>
      </c>
      <c r="E160" s="6" t="n">
        <f aca="false">G159</f>
        <v>2071389.42790098</v>
      </c>
      <c r="F160" s="6" t="n">
        <f aca="false">MIN(E160,ROUND(03_Initial_Recognition!$I$10/H160,2))</f>
        <v>90060.42</v>
      </c>
      <c r="G160" s="6" t="n">
        <f aca="false">MAX(0,E160-F160)</f>
        <v>1981329.00790098</v>
      </c>
      <c r="H160" s="1" t="n">
        <f aca="false">DATEDIF(01_Lease_Master!$D$10,01_Lease_Master!$AJ$10,"m")+IF(DAY(01_Lease_Master!$AJ$10)&gt;=DAY(01_Lease_Master!$D$10),1,0)</f>
        <v>60</v>
      </c>
      <c r="I160" s="1" t="s">
        <v>153</v>
      </c>
      <c r="J160" s="1" t="str">
        <f aca="false">IF(ABS(G160-1981329.01)&lt;=0.01,"PASS","CHECK")</f>
        <v>PASS</v>
      </c>
    </row>
    <row r="161" customFormat="false" ht="15" hidden="false" customHeight="true" outlineLevel="0" collapsed="false">
      <c r="A161" s="1" t="s">
        <v>88</v>
      </c>
      <c r="B161" s="1" t="n">
        <v>0</v>
      </c>
      <c r="C161" s="1" t="n">
        <v>39</v>
      </c>
      <c r="D161" s="7" t="n">
        <v>46266</v>
      </c>
      <c r="E161" s="6" t="n">
        <f aca="false">G160</f>
        <v>1981329.00790098</v>
      </c>
      <c r="F161" s="6" t="n">
        <f aca="false">MIN(E161,ROUND(03_Initial_Recognition!$I$10/H161,2))</f>
        <v>90060.42</v>
      </c>
      <c r="G161" s="6" t="n">
        <f aca="false">MAX(0,E161-F161)</f>
        <v>1891268.58790098</v>
      </c>
      <c r="H161" s="1" t="n">
        <f aca="false">DATEDIF(01_Lease_Master!$D$10,01_Lease_Master!$AJ$10,"m")+IF(DAY(01_Lease_Master!$AJ$10)&gt;=DAY(01_Lease_Master!$D$10),1,0)</f>
        <v>60</v>
      </c>
      <c r="I161" s="1" t="s">
        <v>153</v>
      </c>
      <c r="J161" s="1" t="str">
        <f aca="false">IF(ABS(G161-1891268.59)&lt;=0.01,"PASS","CHECK")</f>
        <v>PASS</v>
      </c>
    </row>
    <row r="162" customFormat="false" ht="15" hidden="false" customHeight="true" outlineLevel="0" collapsed="false">
      <c r="A162" s="1" t="s">
        <v>88</v>
      </c>
      <c r="B162" s="1" t="s">
        <v>145</v>
      </c>
      <c r="C162" s="1" t="s">
        <v>145</v>
      </c>
      <c r="D162" s="7" t="n">
        <v>46271</v>
      </c>
      <c r="G162" s="6" t="n">
        <f aca="false">IFERROR(LOOKUP(2,1/(A$6:A161=A162),G$6:G161),SUMIF(03_Initial_Recognition!A:A,A162,03_Initial_Recognition!I:I))</f>
        <v>1891268.58790098</v>
      </c>
      <c r="J162" s="1" t="str">
        <f aca="false">IF(ABS(G162-1891268.59)&lt;=0.01,"PASS","CHECK")</f>
        <v>PASS</v>
      </c>
    </row>
    <row r="163" customFormat="false" ht="15" hidden="false" customHeight="true" outlineLevel="0" collapsed="false">
      <c r="A163" s="1" t="s">
        <v>91</v>
      </c>
      <c r="B163" s="1" t="n">
        <v>0</v>
      </c>
      <c r="C163" s="1" t="n">
        <v>1</v>
      </c>
      <c r="D163" s="7" t="n">
        <v>46204</v>
      </c>
      <c r="E163" s="6" t="n">
        <f aca="false">03_Initial_Recognition!$I$11</f>
        <v>3488582.85837473</v>
      </c>
      <c r="F163" s="6" t="n">
        <f aca="false">MIN(E163,ROUND(03_Initial_Recognition!$I$11/H163,2))</f>
        <v>72678.81</v>
      </c>
      <c r="G163" s="6" t="n">
        <f aca="false">MAX(0,E163-F163)</f>
        <v>3415904.04837473</v>
      </c>
      <c r="H163" s="1" t="n">
        <f aca="false">DATEDIF(01_Lease_Master!$D$11,01_Lease_Master!$AJ$11,"m")+IF(DAY(01_Lease_Master!$AJ$11)&gt;=DAY(01_Lease_Master!$D$11),1,0)</f>
        <v>48</v>
      </c>
      <c r="I163" s="1" t="s">
        <v>153</v>
      </c>
      <c r="J163" s="1" t="str">
        <f aca="false">IF(ABS(G163-3415904.05)&lt;=0.01,"PASS","CHECK")</f>
        <v>PASS</v>
      </c>
    </row>
    <row r="164" customFormat="false" ht="15" hidden="false" customHeight="true" outlineLevel="0" collapsed="false">
      <c r="A164" s="1" t="s">
        <v>91</v>
      </c>
      <c r="B164" s="1" t="n">
        <v>0</v>
      </c>
      <c r="C164" s="1" t="n">
        <v>2</v>
      </c>
      <c r="D164" s="7" t="n">
        <v>46235</v>
      </c>
      <c r="E164" s="6" t="n">
        <f aca="false">G163</f>
        <v>3415904.04837473</v>
      </c>
      <c r="F164" s="6" t="n">
        <f aca="false">MIN(E164,ROUND(03_Initial_Recognition!$I$11/H164,2))</f>
        <v>72678.81</v>
      </c>
      <c r="G164" s="6" t="n">
        <f aca="false">MAX(0,E164-F164)</f>
        <v>3343225.23837473</v>
      </c>
      <c r="H164" s="1" t="n">
        <f aca="false">DATEDIF(01_Lease_Master!$D$11,01_Lease_Master!$AJ$11,"m")+IF(DAY(01_Lease_Master!$AJ$11)&gt;=DAY(01_Lease_Master!$D$11),1,0)</f>
        <v>48</v>
      </c>
      <c r="I164" s="1" t="s">
        <v>153</v>
      </c>
      <c r="J164" s="1" t="str">
        <f aca="false">IF(ABS(G164-3343225.24)&lt;=0.01,"PASS","CHECK")</f>
        <v>PASS</v>
      </c>
    </row>
    <row r="165" customFormat="false" ht="15" hidden="false" customHeight="true" outlineLevel="0" collapsed="false">
      <c r="A165" s="1" t="s">
        <v>91</v>
      </c>
      <c r="B165" s="1" t="n">
        <v>0</v>
      </c>
      <c r="C165" s="1" t="n">
        <v>3</v>
      </c>
      <c r="D165" s="7" t="n">
        <v>46266</v>
      </c>
      <c r="E165" s="6" t="n">
        <f aca="false">G164</f>
        <v>3343225.23837473</v>
      </c>
      <c r="F165" s="6" t="n">
        <f aca="false">MIN(E165,ROUND(03_Initial_Recognition!$I$11/H165,2))</f>
        <v>72678.81</v>
      </c>
      <c r="G165" s="6" t="n">
        <f aca="false">MAX(0,E165-F165)</f>
        <v>3270546.42837473</v>
      </c>
      <c r="H165" s="1" t="n">
        <f aca="false">DATEDIF(01_Lease_Master!$D$11,01_Lease_Master!$AJ$11,"m")+IF(DAY(01_Lease_Master!$AJ$11)&gt;=DAY(01_Lease_Master!$D$11),1,0)</f>
        <v>48</v>
      </c>
      <c r="I165" s="1" t="s">
        <v>153</v>
      </c>
      <c r="J165" s="1" t="str">
        <f aca="false">IF(ABS(G165-3270546.43)&lt;=0.01,"PASS","CHECK")</f>
        <v>PASS</v>
      </c>
    </row>
    <row r="166" customFormat="false" ht="15" hidden="false" customHeight="true" outlineLevel="0" collapsed="false">
      <c r="A166" s="1" t="s">
        <v>91</v>
      </c>
      <c r="B166" s="1" t="s">
        <v>145</v>
      </c>
      <c r="C166" s="1" t="s">
        <v>145</v>
      </c>
      <c r="D166" s="7" t="n">
        <v>46271</v>
      </c>
      <c r="G166" s="6" t="n">
        <f aca="false">IFERROR(LOOKUP(2,1/(A$6:A165=A166),G$6:G165),SUMIF(03_Initial_Recognition!A:A,A166,03_Initial_Recognition!I:I))</f>
        <v>3270546.42837473</v>
      </c>
      <c r="J166" s="1" t="str">
        <f aca="false">IF(ABS(G166-3270546.43)&lt;=0.01,"PASS","CHECK")</f>
        <v>PASS</v>
      </c>
    </row>
    <row r="167" customFormat="false" ht="15" hidden="false" customHeight="true" outlineLevel="0" collapsed="false">
      <c r="A167" s="1" t="s">
        <v>94</v>
      </c>
      <c r="B167" s="1" t="n">
        <v>0</v>
      </c>
      <c r="C167" s="1" t="n">
        <v>1</v>
      </c>
      <c r="D167" s="7" t="n">
        <v>45566</v>
      </c>
      <c r="E167" s="6" t="n">
        <f aca="false">03_Initial_Recognition!$I$12</f>
        <v>2250223.40276553</v>
      </c>
      <c r="F167" s="6" t="n">
        <f aca="false">MIN(E167,ROUND(03_Initial_Recognition!$I$12/H167,2))</f>
        <v>37503.72</v>
      </c>
      <c r="G167" s="6" t="n">
        <f aca="false">MAX(0,E167-F167)</f>
        <v>2212719.68276553</v>
      </c>
      <c r="H167" s="1" t="n">
        <f aca="false">DATEDIF(01_Lease_Master!$D$12,01_Lease_Master!$AJ$12,"m")+IF(DAY(01_Lease_Master!$AJ$12)&gt;=DAY(01_Lease_Master!$D$12),1,0)</f>
        <v>60</v>
      </c>
      <c r="I167" s="1" t="s">
        <v>153</v>
      </c>
      <c r="J167" s="1" t="str">
        <f aca="false">IF(ABS(G167-2212719.68)&lt;=0.01,"PASS","CHECK")</f>
        <v>PASS</v>
      </c>
    </row>
    <row r="168" customFormat="false" ht="15" hidden="false" customHeight="true" outlineLevel="0" collapsed="false">
      <c r="A168" s="1" t="s">
        <v>94</v>
      </c>
      <c r="B168" s="1" t="n">
        <v>0</v>
      </c>
      <c r="C168" s="1" t="n">
        <v>2</v>
      </c>
      <c r="D168" s="7" t="n">
        <v>45597</v>
      </c>
      <c r="E168" s="6" t="n">
        <f aca="false">G167</f>
        <v>2212719.68276553</v>
      </c>
      <c r="F168" s="6" t="n">
        <f aca="false">MIN(E168,ROUND(03_Initial_Recognition!$I$12/H168,2))</f>
        <v>37503.72</v>
      </c>
      <c r="G168" s="6" t="n">
        <f aca="false">MAX(0,E168-F168)</f>
        <v>2175215.96276553</v>
      </c>
      <c r="H168" s="1" t="n">
        <f aca="false">DATEDIF(01_Lease_Master!$D$12,01_Lease_Master!$AJ$12,"m")+IF(DAY(01_Lease_Master!$AJ$12)&gt;=DAY(01_Lease_Master!$D$12),1,0)</f>
        <v>60</v>
      </c>
      <c r="I168" s="1" t="s">
        <v>153</v>
      </c>
      <c r="J168" s="1" t="str">
        <f aca="false">IF(ABS(G168-2175215.96)&lt;=0.01,"PASS","CHECK")</f>
        <v>PASS</v>
      </c>
    </row>
    <row r="169" customFormat="false" ht="15" hidden="false" customHeight="true" outlineLevel="0" collapsed="false">
      <c r="A169" s="1" t="s">
        <v>94</v>
      </c>
      <c r="B169" s="1" t="n">
        <v>0</v>
      </c>
      <c r="C169" s="1" t="n">
        <v>3</v>
      </c>
      <c r="D169" s="7" t="n">
        <v>45627</v>
      </c>
      <c r="E169" s="6" t="n">
        <f aca="false">G168</f>
        <v>2175215.96276553</v>
      </c>
      <c r="F169" s="6" t="n">
        <f aca="false">MIN(E169,ROUND(03_Initial_Recognition!$I$12/H169,2))</f>
        <v>37503.72</v>
      </c>
      <c r="G169" s="6" t="n">
        <f aca="false">MAX(0,E169-F169)</f>
        <v>2137712.24276553</v>
      </c>
      <c r="H169" s="1" t="n">
        <f aca="false">DATEDIF(01_Lease_Master!$D$12,01_Lease_Master!$AJ$12,"m")+IF(DAY(01_Lease_Master!$AJ$12)&gt;=DAY(01_Lease_Master!$D$12),1,0)</f>
        <v>60</v>
      </c>
      <c r="I169" s="1" t="s">
        <v>153</v>
      </c>
      <c r="J169" s="1" t="str">
        <f aca="false">IF(ABS(G169-2137712.24)&lt;=0.01,"PASS","CHECK")</f>
        <v>PASS</v>
      </c>
    </row>
    <row r="170" customFormat="false" ht="15" hidden="false" customHeight="true" outlineLevel="0" collapsed="false">
      <c r="A170" s="1" t="s">
        <v>94</v>
      </c>
      <c r="B170" s="1" t="n">
        <v>0</v>
      </c>
      <c r="C170" s="1" t="n">
        <v>4</v>
      </c>
      <c r="D170" s="7" t="n">
        <v>45658</v>
      </c>
      <c r="E170" s="6" t="n">
        <f aca="false">G169</f>
        <v>2137712.24276553</v>
      </c>
      <c r="F170" s="6" t="n">
        <f aca="false">MIN(E170,ROUND(03_Initial_Recognition!$I$12/H170,2))</f>
        <v>37503.72</v>
      </c>
      <c r="G170" s="6" t="n">
        <f aca="false">MAX(0,E170-F170)</f>
        <v>2100208.52276553</v>
      </c>
      <c r="H170" s="1" t="n">
        <f aca="false">DATEDIF(01_Lease_Master!$D$12,01_Lease_Master!$AJ$12,"m")+IF(DAY(01_Lease_Master!$AJ$12)&gt;=DAY(01_Lease_Master!$D$12),1,0)</f>
        <v>60</v>
      </c>
      <c r="I170" s="1" t="s">
        <v>153</v>
      </c>
      <c r="J170" s="1" t="str">
        <f aca="false">IF(ABS(G170-2100208.52)&lt;=0.01,"PASS","CHECK")</f>
        <v>PASS</v>
      </c>
    </row>
    <row r="171" customFormat="false" ht="15" hidden="false" customHeight="true" outlineLevel="0" collapsed="false">
      <c r="A171" s="1" t="s">
        <v>94</v>
      </c>
      <c r="B171" s="1" t="n">
        <v>0</v>
      </c>
      <c r="C171" s="1" t="n">
        <v>5</v>
      </c>
      <c r="D171" s="7" t="n">
        <v>45689</v>
      </c>
      <c r="E171" s="6" t="n">
        <f aca="false">G170</f>
        <v>2100208.52276553</v>
      </c>
      <c r="F171" s="6" t="n">
        <f aca="false">MIN(E171,ROUND(03_Initial_Recognition!$I$12/H171,2))</f>
        <v>37503.72</v>
      </c>
      <c r="G171" s="6" t="n">
        <f aca="false">MAX(0,E171-F171)</f>
        <v>2062704.80276553</v>
      </c>
      <c r="H171" s="1" t="n">
        <f aca="false">DATEDIF(01_Lease_Master!$D$12,01_Lease_Master!$AJ$12,"m")+IF(DAY(01_Lease_Master!$AJ$12)&gt;=DAY(01_Lease_Master!$D$12),1,0)</f>
        <v>60</v>
      </c>
      <c r="I171" s="1" t="s">
        <v>153</v>
      </c>
      <c r="J171" s="1" t="str">
        <f aca="false">IF(ABS(G171-2062704.8)&lt;=0.01,"PASS","CHECK")</f>
        <v>PASS</v>
      </c>
    </row>
    <row r="172" customFormat="false" ht="15" hidden="false" customHeight="true" outlineLevel="0" collapsed="false">
      <c r="A172" s="1" t="s">
        <v>94</v>
      </c>
      <c r="B172" s="1" t="n">
        <v>0</v>
      </c>
      <c r="C172" s="1" t="n">
        <v>6</v>
      </c>
      <c r="D172" s="7" t="n">
        <v>45717</v>
      </c>
      <c r="E172" s="6" t="n">
        <f aca="false">G171</f>
        <v>2062704.80276553</v>
      </c>
      <c r="F172" s="6" t="n">
        <f aca="false">MIN(E172,ROUND(03_Initial_Recognition!$I$12/H172,2))</f>
        <v>37503.72</v>
      </c>
      <c r="G172" s="6" t="n">
        <f aca="false">MAX(0,E172-F172)</f>
        <v>2025201.08276553</v>
      </c>
      <c r="H172" s="1" t="n">
        <f aca="false">DATEDIF(01_Lease_Master!$D$12,01_Lease_Master!$AJ$12,"m")+IF(DAY(01_Lease_Master!$AJ$12)&gt;=DAY(01_Lease_Master!$D$12),1,0)</f>
        <v>60</v>
      </c>
      <c r="I172" s="1" t="s">
        <v>153</v>
      </c>
      <c r="J172" s="1" t="str">
        <f aca="false">IF(ABS(G172-2025201.08)&lt;=0.01,"PASS","CHECK")</f>
        <v>PASS</v>
      </c>
    </row>
    <row r="173" customFormat="false" ht="15" hidden="false" customHeight="true" outlineLevel="0" collapsed="false">
      <c r="A173" s="1" t="s">
        <v>94</v>
      </c>
      <c r="B173" s="1" t="n">
        <v>0</v>
      </c>
      <c r="C173" s="1" t="n">
        <v>7</v>
      </c>
      <c r="D173" s="7" t="n">
        <v>45748</v>
      </c>
      <c r="E173" s="6" t="n">
        <f aca="false">G172</f>
        <v>2025201.08276553</v>
      </c>
      <c r="F173" s="6" t="n">
        <f aca="false">MIN(E173,ROUND(03_Initial_Recognition!$I$12/H173,2))</f>
        <v>37503.72</v>
      </c>
      <c r="G173" s="6" t="n">
        <f aca="false">MAX(0,E173-F173)</f>
        <v>1987697.36276553</v>
      </c>
      <c r="H173" s="1" t="n">
        <f aca="false">DATEDIF(01_Lease_Master!$D$12,01_Lease_Master!$AJ$12,"m")+IF(DAY(01_Lease_Master!$AJ$12)&gt;=DAY(01_Lease_Master!$D$12),1,0)</f>
        <v>60</v>
      </c>
      <c r="I173" s="1" t="s">
        <v>153</v>
      </c>
      <c r="J173" s="1" t="str">
        <f aca="false">IF(ABS(G173-1987697.36)&lt;=0.01,"PASS","CHECK")</f>
        <v>PASS</v>
      </c>
    </row>
    <row r="174" customFormat="false" ht="15" hidden="false" customHeight="true" outlineLevel="0" collapsed="false">
      <c r="A174" s="1" t="s">
        <v>94</v>
      </c>
      <c r="B174" s="1" t="n">
        <v>0</v>
      </c>
      <c r="C174" s="1" t="n">
        <v>8</v>
      </c>
      <c r="D174" s="7" t="n">
        <v>45778</v>
      </c>
      <c r="E174" s="6" t="n">
        <f aca="false">G173</f>
        <v>1987697.36276553</v>
      </c>
      <c r="F174" s="6" t="n">
        <f aca="false">MIN(E174,ROUND(03_Initial_Recognition!$I$12/H174,2))</f>
        <v>37503.72</v>
      </c>
      <c r="G174" s="6" t="n">
        <f aca="false">MAX(0,E174-F174)</f>
        <v>1950193.64276553</v>
      </c>
      <c r="H174" s="1" t="n">
        <f aca="false">DATEDIF(01_Lease_Master!$D$12,01_Lease_Master!$AJ$12,"m")+IF(DAY(01_Lease_Master!$AJ$12)&gt;=DAY(01_Lease_Master!$D$12),1,0)</f>
        <v>60</v>
      </c>
      <c r="I174" s="1" t="s">
        <v>153</v>
      </c>
      <c r="J174" s="1" t="str">
        <f aca="false">IF(ABS(G174-1950193.64)&lt;=0.01,"PASS","CHECK")</f>
        <v>PASS</v>
      </c>
    </row>
    <row r="175" customFormat="false" ht="15" hidden="false" customHeight="true" outlineLevel="0" collapsed="false">
      <c r="A175" s="1" t="s">
        <v>94</v>
      </c>
      <c r="B175" s="1" t="n">
        <v>0</v>
      </c>
      <c r="C175" s="1" t="n">
        <v>9</v>
      </c>
      <c r="D175" s="7" t="n">
        <v>45809</v>
      </c>
      <c r="E175" s="6" t="n">
        <f aca="false">G174</f>
        <v>1950193.64276553</v>
      </c>
      <c r="F175" s="6" t="n">
        <f aca="false">MIN(E175,ROUND(03_Initial_Recognition!$I$12/H175,2))</f>
        <v>37503.72</v>
      </c>
      <c r="G175" s="6" t="n">
        <f aca="false">MAX(0,E175-F175)</f>
        <v>1912689.92276553</v>
      </c>
      <c r="H175" s="1" t="n">
        <f aca="false">DATEDIF(01_Lease_Master!$D$12,01_Lease_Master!$AJ$12,"m")+IF(DAY(01_Lease_Master!$AJ$12)&gt;=DAY(01_Lease_Master!$D$12),1,0)</f>
        <v>60</v>
      </c>
      <c r="I175" s="1" t="s">
        <v>153</v>
      </c>
      <c r="J175" s="1" t="str">
        <f aca="false">IF(ABS(G175-1912689.92)&lt;=0.01,"PASS","CHECK")</f>
        <v>PASS</v>
      </c>
    </row>
    <row r="176" customFormat="false" ht="15" hidden="false" customHeight="true" outlineLevel="0" collapsed="false">
      <c r="A176" s="1" t="s">
        <v>94</v>
      </c>
      <c r="B176" s="1" t="n">
        <v>0</v>
      </c>
      <c r="C176" s="1" t="n">
        <v>10</v>
      </c>
      <c r="D176" s="7" t="n">
        <v>45839</v>
      </c>
      <c r="E176" s="6" t="n">
        <f aca="false">G175</f>
        <v>1912689.92276553</v>
      </c>
      <c r="F176" s="6" t="n">
        <f aca="false">MIN(E176,ROUND(03_Initial_Recognition!$I$12/H176,2))</f>
        <v>37503.72</v>
      </c>
      <c r="G176" s="6" t="n">
        <f aca="false">MAX(0,E176-F176)</f>
        <v>1875186.20276553</v>
      </c>
      <c r="H176" s="1" t="n">
        <f aca="false">DATEDIF(01_Lease_Master!$D$12,01_Lease_Master!$AJ$12,"m")+IF(DAY(01_Lease_Master!$AJ$12)&gt;=DAY(01_Lease_Master!$D$12),1,0)</f>
        <v>60</v>
      </c>
      <c r="I176" s="1" t="s">
        <v>153</v>
      </c>
      <c r="J176" s="1" t="str">
        <f aca="false">IF(ABS(G176-1875186.2)&lt;=0.01,"PASS","CHECK")</f>
        <v>PASS</v>
      </c>
    </row>
    <row r="177" customFormat="false" ht="15" hidden="false" customHeight="true" outlineLevel="0" collapsed="false">
      <c r="A177" s="1" t="s">
        <v>94</v>
      </c>
      <c r="B177" s="1" t="n">
        <v>0</v>
      </c>
      <c r="C177" s="1" t="n">
        <v>11</v>
      </c>
      <c r="D177" s="7" t="n">
        <v>45870</v>
      </c>
      <c r="E177" s="6" t="n">
        <f aca="false">G176</f>
        <v>1875186.20276553</v>
      </c>
      <c r="F177" s="6" t="n">
        <f aca="false">MIN(E177,ROUND(03_Initial_Recognition!$I$12/H177,2))</f>
        <v>37503.72</v>
      </c>
      <c r="G177" s="6" t="n">
        <f aca="false">MAX(0,E177-F177)</f>
        <v>1837682.48276553</v>
      </c>
      <c r="H177" s="1" t="n">
        <f aca="false">DATEDIF(01_Lease_Master!$D$12,01_Lease_Master!$AJ$12,"m")+IF(DAY(01_Lease_Master!$AJ$12)&gt;=DAY(01_Lease_Master!$D$12),1,0)</f>
        <v>60</v>
      </c>
      <c r="I177" s="1" t="s">
        <v>153</v>
      </c>
      <c r="J177" s="1" t="str">
        <f aca="false">IF(ABS(G177-1837682.48)&lt;=0.01,"PASS","CHECK")</f>
        <v>PASS</v>
      </c>
    </row>
    <row r="178" customFormat="false" ht="15" hidden="false" customHeight="true" outlineLevel="0" collapsed="false">
      <c r="A178" s="1" t="s">
        <v>94</v>
      </c>
      <c r="B178" s="1" t="n">
        <v>0</v>
      </c>
      <c r="C178" s="1" t="n">
        <v>12</v>
      </c>
      <c r="D178" s="7" t="n">
        <v>45901</v>
      </c>
      <c r="E178" s="6" t="n">
        <f aca="false">G177</f>
        <v>1837682.48276553</v>
      </c>
      <c r="F178" s="6" t="n">
        <f aca="false">MIN(E178,ROUND(03_Initial_Recognition!$I$12/H178,2))</f>
        <v>37503.72</v>
      </c>
      <c r="G178" s="6" t="n">
        <f aca="false">MAX(0,E178-F178)</f>
        <v>1800178.76276553</v>
      </c>
      <c r="H178" s="1" t="n">
        <f aca="false">DATEDIF(01_Lease_Master!$D$12,01_Lease_Master!$AJ$12,"m")+IF(DAY(01_Lease_Master!$AJ$12)&gt;=DAY(01_Lease_Master!$D$12),1,0)</f>
        <v>60</v>
      </c>
      <c r="I178" s="1" t="s">
        <v>153</v>
      </c>
      <c r="J178" s="1" t="str">
        <f aca="false">IF(ABS(G178-1800178.76)&lt;=0.01,"PASS","CHECK")</f>
        <v>PASS</v>
      </c>
    </row>
    <row r="179" customFormat="false" ht="15" hidden="false" customHeight="true" outlineLevel="0" collapsed="false">
      <c r="A179" s="1" t="s">
        <v>94</v>
      </c>
      <c r="B179" s="1" t="n">
        <v>0</v>
      </c>
      <c r="C179" s="1" t="n">
        <v>13</v>
      </c>
      <c r="D179" s="7" t="n">
        <v>45931</v>
      </c>
      <c r="E179" s="6" t="n">
        <f aca="false">G178</f>
        <v>1800178.76276553</v>
      </c>
      <c r="F179" s="6" t="n">
        <f aca="false">MIN(E179,ROUND(03_Initial_Recognition!$I$12/H179,2))</f>
        <v>37503.72</v>
      </c>
      <c r="G179" s="6" t="n">
        <f aca="false">MAX(0,E179-F179)</f>
        <v>1762675.04276553</v>
      </c>
      <c r="H179" s="1" t="n">
        <f aca="false">DATEDIF(01_Lease_Master!$D$12,01_Lease_Master!$AJ$12,"m")+IF(DAY(01_Lease_Master!$AJ$12)&gt;=DAY(01_Lease_Master!$D$12),1,0)</f>
        <v>60</v>
      </c>
      <c r="I179" s="1" t="s">
        <v>153</v>
      </c>
      <c r="J179" s="1" t="str">
        <f aca="false">IF(ABS(G179-1762675.04)&lt;=0.01,"PASS","CHECK")</f>
        <v>PASS</v>
      </c>
    </row>
    <row r="180" customFormat="false" ht="15" hidden="false" customHeight="true" outlineLevel="0" collapsed="false">
      <c r="A180" s="1" t="s">
        <v>94</v>
      </c>
      <c r="B180" s="1" t="n">
        <v>0</v>
      </c>
      <c r="C180" s="1" t="n">
        <v>14</v>
      </c>
      <c r="D180" s="7" t="n">
        <v>45962</v>
      </c>
      <c r="E180" s="6" t="n">
        <f aca="false">G179</f>
        <v>1762675.04276553</v>
      </c>
      <c r="F180" s="6" t="n">
        <f aca="false">MIN(E180,ROUND(03_Initial_Recognition!$I$12/H180,2))</f>
        <v>37503.72</v>
      </c>
      <c r="G180" s="6" t="n">
        <f aca="false">MAX(0,E180-F180)</f>
        <v>1725171.32276553</v>
      </c>
      <c r="H180" s="1" t="n">
        <f aca="false">DATEDIF(01_Lease_Master!$D$12,01_Lease_Master!$AJ$12,"m")+IF(DAY(01_Lease_Master!$AJ$12)&gt;=DAY(01_Lease_Master!$D$12),1,0)</f>
        <v>60</v>
      </c>
      <c r="I180" s="1" t="s">
        <v>153</v>
      </c>
      <c r="J180" s="1" t="str">
        <f aca="false">IF(ABS(G180-1725171.32)&lt;=0.01,"PASS","CHECK")</f>
        <v>PASS</v>
      </c>
    </row>
    <row r="181" customFormat="false" ht="15" hidden="false" customHeight="true" outlineLevel="0" collapsed="false">
      <c r="A181" s="1" t="s">
        <v>94</v>
      </c>
      <c r="B181" s="1" t="n">
        <v>0</v>
      </c>
      <c r="C181" s="1" t="n">
        <v>15</v>
      </c>
      <c r="D181" s="7" t="n">
        <v>45992</v>
      </c>
      <c r="E181" s="6" t="n">
        <f aca="false">G180</f>
        <v>1725171.32276553</v>
      </c>
      <c r="F181" s="6" t="n">
        <f aca="false">MIN(E181,ROUND(03_Initial_Recognition!$I$12/H181,2))</f>
        <v>37503.72</v>
      </c>
      <c r="G181" s="6" t="n">
        <f aca="false">MAX(0,E181-F181)</f>
        <v>1687667.60276553</v>
      </c>
      <c r="H181" s="1" t="n">
        <f aca="false">DATEDIF(01_Lease_Master!$D$12,01_Lease_Master!$AJ$12,"m")+IF(DAY(01_Lease_Master!$AJ$12)&gt;=DAY(01_Lease_Master!$D$12),1,0)</f>
        <v>60</v>
      </c>
      <c r="I181" s="1" t="s">
        <v>153</v>
      </c>
      <c r="J181" s="1" t="str">
        <f aca="false">IF(ABS(G181-1687667.6)&lt;=0.01,"PASS","CHECK")</f>
        <v>PASS</v>
      </c>
    </row>
    <row r="182" customFormat="false" ht="15" hidden="false" customHeight="true" outlineLevel="0" collapsed="false">
      <c r="A182" s="1" t="s">
        <v>94</v>
      </c>
      <c r="B182" s="1" t="n">
        <v>0</v>
      </c>
      <c r="C182" s="1" t="n">
        <v>16</v>
      </c>
      <c r="D182" s="7" t="n">
        <v>46023</v>
      </c>
      <c r="E182" s="6" t="n">
        <f aca="false">G181</f>
        <v>1687667.60276553</v>
      </c>
      <c r="F182" s="6" t="n">
        <f aca="false">MIN(E182,ROUND(03_Initial_Recognition!$I$12/H182,2))</f>
        <v>37503.72</v>
      </c>
      <c r="G182" s="6" t="n">
        <f aca="false">MAX(0,E182-F182)</f>
        <v>1650163.88276553</v>
      </c>
      <c r="H182" s="1" t="n">
        <f aca="false">DATEDIF(01_Lease_Master!$D$12,01_Lease_Master!$AJ$12,"m")+IF(DAY(01_Lease_Master!$AJ$12)&gt;=DAY(01_Lease_Master!$D$12),1,0)</f>
        <v>60</v>
      </c>
      <c r="I182" s="1" t="s">
        <v>153</v>
      </c>
      <c r="J182" s="1" t="str">
        <f aca="false">IF(ABS(G182-1650163.88)&lt;=0.01,"PASS","CHECK")</f>
        <v>PASS</v>
      </c>
    </row>
    <row r="183" customFormat="false" ht="15" hidden="false" customHeight="true" outlineLevel="0" collapsed="false">
      <c r="A183" s="1" t="s">
        <v>94</v>
      </c>
      <c r="B183" s="1" t="n">
        <v>0</v>
      </c>
      <c r="C183" s="1" t="n">
        <v>17</v>
      </c>
      <c r="D183" s="7" t="n">
        <v>46054</v>
      </c>
      <c r="E183" s="6" t="n">
        <f aca="false">G182</f>
        <v>1650163.88276553</v>
      </c>
      <c r="F183" s="6" t="n">
        <f aca="false">MIN(E183,ROUND(03_Initial_Recognition!$I$12/H183,2))</f>
        <v>37503.72</v>
      </c>
      <c r="G183" s="6" t="n">
        <f aca="false">MAX(0,E183-F183)</f>
        <v>1612660.16276553</v>
      </c>
      <c r="H183" s="1" t="n">
        <f aca="false">DATEDIF(01_Lease_Master!$D$12,01_Lease_Master!$AJ$12,"m")+IF(DAY(01_Lease_Master!$AJ$12)&gt;=DAY(01_Lease_Master!$D$12),1,0)</f>
        <v>60</v>
      </c>
      <c r="I183" s="1" t="s">
        <v>153</v>
      </c>
      <c r="J183" s="1" t="str">
        <f aca="false">IF(ABS(G183-1612660.16)&lt;=0.01,"PASS","CHECK")</f>
        <v>PASS</v>
      </c>
    </row>
    <row r="184" customFormat="false" ht="15" hidden="false" customHeight="true" outlineLevel="0" collapsed="false">
      <c r="A184" s="1" t="s">
        <v>94</v>
      </c>
      <c r="B184" s="1" t="n">
        <v>0</v>
      </c>
      <c r="C184" s="1" t="n">
        <v>18</v>
      </c>
      <c r="D184" s="7" t="n">
        <v>46082</v>
      </c>
      <c r="E184" s="6" t="n">
        <f aca="false">G183</f>
        <v>1612660.16276553</v>
      </c>
      <c r="F184" s="6" t="n">
        <f aca="false">MIN(E184,ROUND(03_Initial_Recognition!$I$12/H184,2))</f>
        <v>37503.72</v>
      </c>
      <c r="G184" s="6" t="n">
        <f aca="false">MAX(0,E184-F184)</f>
        <v>1575156.44276553</v>
      </c>
      <c r="H184" s="1" t="n">
        <f aca="false">DATEDIF(01_Lease_Master!$D$12,01_Lease_Master!$AJ$12,"m")+IF(DAY(01_Lease_Master!$AJ$12)&gt;=DAY(01_Lease_Master!$D$12),1,0)</f>
        <v>60</v>
      </c>
      <c r="I184" s="1" t="s">
        <v>153</v>
      </c>
      <c r="J184" s="1" t="str">
        <f aca="false">IF(ABS(G184-1575156.44)&lt;=0.01,"PASS","CHECK")</f>
        <v>PASS</v>
      </c>
    </row>
    <row r="185" customFormat="false" ht="15" hidden="false" customHeight="true" outlineLevel="0" collapsed="false">
      <c r="A185" s="1" t="s">
        <v>94</v>
      </c>
      <c r="B185" s="1" t="n">
        <v>0</v>
      </c>
      <c r="C185" s="1" t="n">
        <v>19</v>
      </c>
      <c r="D185" s="7" t="n">
        <v>46113</v>
      </c>
      <c r="E185" s="6" t="n">
        <f aca="false">G184</f>
        <v>1575156.44276553</v>
      </c>
      <c r="F185" s="6" t="n">
        <f aca="false">MIN(E185,ROUND(03_Initial_Recognition!$I$12/H185,2))</f>
        <v>37503.72</v>
      </c>
      <c r="G185" s="6" t="n">
        <f aca="false">MAX(0,E185-F185)</f>
        <v>1537652.72276553</v>
      </c>
      <c r="H185" s="1" t="n">
        <f aca="false">DATEDIF(01_Lease_Master!$D$12,01_Lease_Master!$AJ$12,"m")+IF(DAY(01_Lease_Master!$AJ$12)&gt;=DAY(01_Lease_Master!$D$12),1,0)</f>
        <v>60</v>
      </c>
      <c r="I185" s="1" t="s">
        <v>153</v>
      </c>
      <c r="J185" s="1" t="str">
        <f aca="false">IF(ABS(G185-1537652.72)&lt;=0.01,"PASS","CHECK")</f>
        <v>PASS</v>
      </c>
    </row>
    <row r="186" customFormat="false" ht="15" hidden="false" customHeight="true" outlineLevel="0" collapsed="false">
      <c r="A186" s="1" t="s">
        <v>94</v>
      </c>
      <c r="B186" s="1" t="n">
        <v>0</v>
      </c>
      <c r="C186" s="1" t="n">
        <v>20</v>
      </c>
      <c r="D186" s="7" t="n">
        <v>46143</v>
      </c>
      <c r="E186" s="6" t="n">
        <f aca="false">G185</f>
        <v>1537652.72276553</v>
      </c>
      <c r="F186" s="6" t="n">
        <f aca="false">MIN(E186,ROUND(03_Initial_Recognition!$I$12/H186,2))</f>
        <v>37503.72</v>
      </c>
      <c r="G186" s="6" t="n">
        <f aca="false">MAX(0,E186-F186)</f>
        <v>1500149.00276553</v>
      </c>
      <c r="H186" s="1" t="n">
        <f aca="false">DATEDIF(01_Lease_Master!$D$12,01_Lease_Master!$AJ$12,"m")+IF(DAY(01_Lease_Master!$AJ$12)&gt;=DAY(01_Lease_Master!$D$12),1,0)</f>
        <v>60</v>
      </c>
      <c r="I186" s="1" t="s">
        <v>153</v>
      </c>
      <c r="J186" s="1" t="str">
        <f aca="false">IF(ABS(G186-1500149)&lt;=0.01,"PASS","CHECK")</f>
        <v>PASS</v>
      </c>
    </row>
    <row r="187" customFormat="false" ht="15" hidden="false" customHeight="true" outlineLevel="0" collapsed="false">
      <c r="A187" s="1" t="s">
        <v>94</v>
      </c>
      <c r="B187" s="1" t="n">
        <v>0</v>
      </c>
      <c r="C187" s="1" t="n">
        <v>21</v>
      </c>
      <c r="D187" s="7" t="n">
        <v>46174</v>
      </c>
      <c r="E187" s="6" t="n">
        <f aca="false">G186</f>
        <v>1500149.00276553</v>
      </c>
      <c r="F187" s="6" t="n">
        <f aca="false">MIN(E187,ROUND(03_Initial_Recognition!$I$12/H187,2))</f>
        <v>37503.72</v>
      </c>
      <c r="G187" s="6" t="n">
        <f aca="false">MAX(0,E187-F187)</f>
        <v>1462645.28276553</v>
      </c>
      <c r="H187" s="1" t="n">
        <f aca="false">DATEDIF(01_Lease_Master!$D$12,01_Lease_Master!$AJ$12,"m")+IF(DAY(01_Lease_Master!$AJ$12)&gt;=DAY(01_Lease_Master!$D$12),1,0)</f>
        <v>60</v>
      </c>
      <c r="I187" s="1" t="s">
        <v>153</v>
      </c>
      <c r="J187" s="1" t="str">
        <f aca="false">IF(ABS(G187-1462645.28)&lt;=0.01,"PASS","CHECK")</f>
        <v>PASS</v>
      </c>
    </row>
    <row r="188" customFormat="false" ht="15" hidden="false" customHeight="true" outlineLevel="0" collapsed="false">
      <c r="A188" s="1" t="s">
        <v>94</v>
      </c>
      <c r="B188" s="1" t="n">
        <v>0</v>
      </c>
      <c r="C188" s="1" t="n">
        <v>22</v>
      </c>
      <c r="D188" s="7" t="n">
        <v>46204</v>
      </c>
      <c r="E188" s="6" t="n">
        <f aca="false">G187</f>
        <v>1462645.28276553</v>
      </c>
      <c r="F188" s="6" t="n">
        <f aca="false">MIN(E188,ROUND(03_Initial_Recognition!$I$12/H188,2))</f>
        <v>37503.72</v>
      </c>
      <c r="G188" s="6" t="n">
        <f aca="false">MAX(0,E188-F188)</f>
        <v>1425141.56276553</v>
      </c>
      <c r="H188" s="1" t="n">
        <f aca="false">DATEDIF(01_Lease_Master!$D$12,01_Lease_Master!$AJ$12,"m")+IF(DAY(01_Lease_Master!$AJ$12)&gt;=DAY(01_Lease_Master!$D$12),1,0)</f>
        <v>60</v>
      </c>
      <c r="I188" s="1" t="s">
        <v>153</v>
      </c>
      <c r="J188" s="1" t="str">
        <f aca="false">IF(ABS(G188-1425141.56)&lt;=0.01,"PASS","CHECK")</f>
        <v>PASS</v>
      </c>
    </row>
    <row r="189" customFormat="false" ht="15" hidden="false" customHeight="true" outlineLevel="0" collapsed="false">
      <c r="A189" s="1" t="s">
        <v>94</v>
      </c>
      <c r="B189" s="1" t="n">
        <v>0</v>
      </c>
      <c r="C189" s="1" t="n">
        <v>23</v>
      </c>
      <c r="D189" s="7" t="n">
        <v>46235</v>
      </c>
      <c r="E189" s="6" t="n">
        <f aca="false">G188</f>
        <v>1425141.56276553</v>
      </c>
      <c r="F189" s="6" t="n">
        <f aca="false">MIN(E189,ROUND(03_Initial_Recognition!$I$12/H189,2))</f>
        <v>37503.72</v>
      </c>
      <c r="G189" s="6" t="n">
        <f aca="false">MAX(0,E189-F189)</f>
        <v>1387637.84276553</v>
      </c>
      <c r="H189" s="1" t="n">
        <f aca="false">DATEDIF(01_Lease_Master!$D$12,01_Lease_Master!$AJ$12,"m")+IF(DAY(01_Lease_Master!$AJ$12)&gt;=DAY(01_Lease_Master!$D$12),1,0)</f>
        <v>60</v>
      </c>
      <c r="I189" s="1" t="s">
        <v>153</v>
      </c>
      <c r="J189" s="1" t="str">
        <f aca="false">IF(ABS(G189-1387637.84)&lt;=0.01,"PASS","CHECK")</f>
        <v>PASS</v>
      </c>
    </row>
    <row r="190" customFormat="false" ht="15" hidden="false" customHeight="true" outlineLevel="0" collapsed="false">
      <c r="A190" s="1" t="s">
        <v>94</v>
      </c>
      <c r="B190" s="1" t="n">
        <v>0</v>
      </c>
      <c r="C190" s="1" t="n">
        <v>24</v>
      </c>
      <c r="D190" s="7" t="n">
        <v>46266</v>
      </c>
      <c r="E190" s="6" t="n">
        <f aca="false">G189</f>
        <v>1387637.84276553</v>
      </c>
      <c r="F190" s="6" t="n">
        <f aca="false">MIN(E190,ROUND(03_Initial_Recognition!$I$12/H190,2))</f>
        <v>37503.72</v>
      </c>
      <c r="G190" s="6" t="n">
        <f aca="false">MAX(0,E190-F190)</f>
        <v>1350134.12276553</v>
      </c>
      <c r="H190" s="1" t="n">
        <f aca="false">DATEDIF(01_Lease_Master!$D$12,01_Lease_Master!$AJ$12,"m")+IF(DAY(01_Lease_Master!$AJ$12)&gt;=DAY(01_Lease_Master!$D$12),1,0)</f>
        <v>60</v>
      </c>
      <c r="I190" s="1" t="s">
        <v>153</v>
      </c>
      <c r="J190" s="1" t="str">
        <f aca="false">IF(ABS(G190-1350134.12)&lt;=0.01,"PASS","CHECK")</f>
        <v>PASS</v>
      </c>
    </row>
    <row r="191" customFormat="false" ht="15" hidden="false" customHeight="true" outlineLevel="0" collapsed="false">
      <c r="A191" s="1" t="s">
        <v>94</v>
      </c>
      <c r="B191" s="1" t="s">
        <v>145</v>
      </c>
      <c r="C191" s="1" t="s">
        <v>145</v>
      </c>
      <c r="D191" s="7" t="n">
        <v>46271</v>
      </c>
      <c r="G191" s="6" t="n">
        <f aca="false">IFERROR(LOOKUP(2,1/(A$6:A190=A191),G$6:G190),SUMIF(03_Initial_Recognition!A:A,A191,03_Initial_Recognition!I:I))</f>
        <v>1350134.12276553</v>
      </c>
      <c r="J191" s="1" t="str">
        <f aca="false">IF(ABS(G191-1350134.12)&lt;=0.01,"PASS","CHECK")</f>
        <v>PASS</v>
      </c>
    </row>
    <row r="192" customFormat="false" ht="15" hidden="false" customHeight="true" outlineLevel="0" collapsed="false">
      <c r="A192" s="1" t="s">
        <v>97</v>
      </c>
      <c r="B192" s="1" t="n">
        <v>0</v>
      </c>
      <c r="C192" s="1" t="n">
        <v>1</v>
      </c>
      <c r="D192" s="7" t="n">
        <v>44927</v>
      </c>
      <c r="E192" s="6" t="n">
        <f aca="false">03_Initial_Recognition!$I$13</f>
        <v>76951.2706803806</v>
      </c>
      <c r="F192" s="6" t="n">
        <f aca="false">MIN(E192,ROUND(03_Initial_Recognition!$I$13/H192,2))</f>
        <v>1282.52</v>
      </c>
      <c r="G192" s="6" t="n">
        <f aca="false">MAX(0,E192-F192)</f>
        <v>75668.7506803806</v>
      </c>
      <c r="H192" s="1" t="n">
        <f aca="false">DATEDIF(01_Lease_Master!$D$13,01_Lease_Master!$AJ$13,"m")+IF(DAY(01_Lease_Master!$AJ$13)&gt;=DAY(01_Lease_Master!$D$13),1,0)</f>
        <v>60</v>
      </c>
      <c r="I192" s="1" t="s">
        <v>153</v>
      </c>
      <c r="J192" s="1" t="str">
        <f aca="false">IF(ABS(G192-75668.75)&lt;=0.01,"PASS","CHECK")</f>
        <v>PASS</v>
      </c>
    </row>
    <row r="193" customFormat="false" ht="15" hidden="false" customHeight="true" outlineLevel="0" collapsed="false">
      <c r="A193" s="1" t="s">
        <v>97</v>
      </c>
      <c r="B193" s="1" t="n">
        <v>0</v>
      </c>
      <c r="C193" s="1" t="n">
        <v>2</v>
      </c>
      <c r="D193" s="7" t="n">
        <v>44958</v>
      </c>
      <c r="E193" s="6" t="n">
        <f aca="false">G192</f>
        <v>75668.7506803806</v>
      </c>
      <c r="F193" s="6" t="n">
        <f aca="false">MIN(E193,ROUND(03_Initial_Recognition!$I$13/H193,2))</f>
        <v>1282.52</v>
      </c>
      <c r="G193" s="6" t="n">
        <f aca="false">MAX(0,E193-F193)</f>
        <v>74386.2306803806</v>
      </c>
      <c r="H193" s="1" t="n">
        <f aca="false">DATEDIF(01_Lease_Master!$D$13,01_Lease_Master!$AJ$13,"m")+IF(DAY(01_Lease_Master!$AJ$13)&gt;=DAY(01_Lease_Master!$D$13),1,0)</f>
        <v>60</v>
      </c>
      <c r="I193" s="1" t="s">
        <v>153</v>
      </c>
      <c r="J193" s="1" t="str">
        <f aca="false">IF(ABS(G193-74386.23)&lt;=0.01,"PASS","CHECK")</f>
        <v>PASS</v>
      </c>
    </row>
    <row r="194" customFormat="false" ht="15" hidden="false" customHeight="true" outlineLevel="0" collapsed="false">
      <c r="A194" s="1" t="s">
        <v>97</v>
      </c>
      <c r="B194" s="1" t="n">
        <v>0</v>
      </c>
      <c r="C194" s="1" t="n">
        <v>3</v>
      </c>
      <c r="D194" s="7" t="n">
        <v>44986</v>
      </c>
      <c r="E194" s="6" t="n">
        <f aca="false">G193</f>
        <v>74386.2306803806</v>
      </c>
      <c r="F194" s="6" t="n">
        <f aca="false">MIN(E194,ROUND(03_Initial_Recognition!$I$13/H194,2))</f>
        <v>1282.52</v>
      </c>
      <c r="G194" s="6" t="n">
        <f aca="false">MAX(0,E194-F194)</f>
        <v>73103.7106803806</v>
      </c>
      <c r="H194" s="1" t="n">
        <f aca="false">DATEDIF(01_Lease_Master!$D$13,01_Lease_Master!$AJ$13,"m")+IF(DAY(01_Lease_Master!$AJ$13)&gt;=DAY(01_Lease_Master!$D$13),1,0)</f>
        <v>60</v>
      </c>
      <c r="I194" s="1" t="s">
        <v>153</v>
      </c>
      <c r="J194" s="1" t="str">
        <f aca="false">IF(ABS(G194-73103.71)&lt;=0.01,"PASS","CHECK")</f>
        <v>PASS</v>
      </c>
    </row>
    <row r="195" customFormat="false" ht="15" hidden="false" customHeight="true" outlineLevel="0" collapsed="false">
      <c r="A195" s="1" t="s">
        <v>97</v>
      </c>
      <c r="B195" s="1" t="n">
        <v>0</v>
      </c>
      <c r="C195" s="1" t="n">
        <v>4</v>
      </c>
      <c r="D195" s="7" t="n">
        <v>45017</v>
      </c>
      <c r="E195" s="6" t="n">
        <f aca="false">G194</f>
        <v>73103.7106803806</v>
      </c>
      <c r="F195" s="6" t="n">
        <f aca="false">MIN(E195,ROUND(03_Initial_Recognition!$I$13/H195,2))</f>
        <v>1282.52</v>
      </c>
      <c r="G195" s="6" t="n">
        <f aca="false">MAX(0,E195-F195)</f>
        <v>71821.1906803806</v>
      </c>
      <c r="H195" s="1" t="n">
        <f aca="false">DATEDIF(01_Lease_Master!$D$13,01_Lease_Master!$AJ$13,"m")+IF(DAY(01_Lease_Master!$AJ$13)&gt;=DAY(01_Lease_Master!$D$13),1,0)</f>
        <v>60</v>
      </c>
      <c r="I195" s="1" t="s">
        <v>153</v>
      </c>
      <c r="J195" s="1" t="str">
        <f aca="false">IF(ABS(G195-71821.19)&lt;=0.01,"PASS","CHECK")</f>
        <v>PASS</v>
      </c>
    </row>
    <row r="196" customFormat="false" ht="15" hidden="false" customHeight="true" outlineLevel="0" collapsed="false">
      <c r="A196" s="1" t="s">
        <v>97</v>
      </c>
      <c r="B196" s="1" t="n">
        <v>0</v>
      </c>
      <c r="C196" s="1" t="n">
        <v>5</v>
      </c>
      <c r="D196" s="7" t="n">
        <v>45047</v>
      </c>
      <c r="E196" s="6" t="n">
        <f aca="false">G195</f>
        <v>71821.1906803806</v>
      </c>
      <c r="F196" s="6" t="n">
        <f aca="false">MIN(E196,ROUND(03_Initial_Recognition!$I$13/H196,2))</f>
        <v>1282.52</v>
      </c>
      <c r="G196" s="6" t="n">
        <f aca="false">MAX(0,E196-F196)</f>
        <v>70538.6706803806</v>
      </c>
      <c r="H196" s="1" t="n">
        <f aca="false">DATEDIF(01_Lease_Master!$D$13,01_Lease_Master!$AJ$13,"m")+IF(DAY(01_Lease_Master!$AJ$13)&gt;=DAY(01_Lease_Master!$D$13),1,0)</f>
        <v>60</v>
      </c>
      <c r="I196" s="1" t="s">
        <v>153</v>
      </c>
      <c r="J196" s="1" t="str">
        <f aca="false">IF(ABS(G196-70538.67)&lt;=0.01,"PASS","CHECK")</f>
        <v>PASS</v>
      </c>
    </row>
    <row r="197" customFormat="false" ht="15" hidden="false" customHeight="true" outlineLevel="0" collapsed="false">
      <c r="A197" s="1" t="s">
        <v>97</v>
      </c>
      <c r="B197" s="1" t="n">
        <v>0</v>
      </c>
      <c r="C197" s="1" t="n">
        <v>6</v>
      </c>
      <c r="D197" s="7" t="n">
        <v>45078</v>
      </c>
      <c r="E197" s="6" t="n">
        <f aca="false">G196</f>
        <v>70538.6706803806</v>
      </c>
      <c r="F197" s="6" t="n">
        <f aca="false">MIN(E197,ROUND(03_Initial_Recognition!$I$13/H197,2))</f>
        <v>1282.52</v>
      </c>
      <c r="G197" s="6" t="n">
        <f aca="false">MAX(0,E197-F197)</f>
        <v>69256.1506803806</v>
      </c>
      <c r="H197" s="1" t="n">
        <f aca="false">DATEDIF(01_Lease_Master!$D$13,01_Lease_Master!$AJ$13,"m")+IF(DAY(01_Lease_Master!$AJ$13)&gt;=DAY(01_Lease_Master!$D$13),1,0)</f>
        <v>60</v>
      </c>
      <c r="I197" s="1" t="s">
        <v>153</v>
      </c>
      <c r="J197" s="1" t="str">
        <f aca="false">IF(ABS(G197-69256.15)&lt;=0.01,"PASS","CHECK")</f>
        <v>PASS</v>
      </c>
    </row>
    <row r="198" customFormat="false" ht="15" hidden="false" customHeight="true" outlineLevel="0" collapsed="false">
      <c r="A198" s="1" t="s">
        <v>97</v>
      </c>
      <c r="B198" s="1" t="n">
        <v>0</v>
      </c>
      <c r="C198" s="1" t="n">
        <v>7</v>
      </c>
      <c r="D198" s="7" t="n">
        <v>45108</v>
      </c>
      <c r="E198" s="6" t="n">
        <f aca="false">G197</f>
        <v>69256.1506803806</v>
      </c>
      <c r="F198" s="6" t="n">
        <f aca="false">MIN(E198,ROUND(03_Initial_Recognition!$I$13/H198,2))</f>
        <v>1282.52</v>
      </c>
      <c r="G198" s="6" t="n">
        <f aca="false">MAX(0,E198-F198)</f>
        <v>67973.6306803806</v>
      </c>
      <c r="H198" s="1" t="n">
        <f aca="false">DATEDIF(01_Lease_Master!$D$13,01_Lease_Master!$AJ$13,"m")+IF(DAY(01_Lease_Master!$AJ$13)&gt;=DAY(01_Lease_Master!$D$13),1,0)</f>
        <v>60</v>
      </c>
      <c r="I198" s="1" t="s">
        <v>153</v>
      </c>
      <c r="J198" s="1" t="str">
        <f aca="false">IF(ABS(G198-67973.63)&lt;=0.01,"PASS","CHECK")</f>
        <v>PASS</v>
      </c>
    </row>
    <row r="199" customFormat="false" ht="15" hidden="false" customHeight="true" outlineLevel="0" collapsed="false">
      <c r="A199" s="1" t="s">
        <v>97</v>
      </c>
      <c r="B199" s="1" t="n">
        <v>0</v>
      </c>
      <c r="C199" s="1" t="n">
        <v>8</v>
      </c>
      <c r="D199" s="7" t="n">
        <v>45139</v>
      </c>
      <c r="E199" s="6" t="n">
        <f aca="false">G198</f>
        <v>67973.6306803806</v>
      </c>
      <c r="F199" s="6" t="n">
        <f aca="false">MIN(E199,ROUND(03_Initial_Recognition!$I$13/H199,2))</f>
        <v>1282.52</v>
      </c>
      <c r="G199" s="6" t="n">
        <f aca="false">MAX(0,E199-F199)</f>
        <v>66691.1106803806</v>
      </c>
      <c r="H199" s="1" t="n">
        <f aca="false">DATEDIF(01_Lease_Master!$D$13,01_Lease_Master!$AJ$13,"m")+IF(DAY(01_Lease_Master!$AJ$13)&gt;=DAY(01_Lease_Master!$D$13),1,0)</f>
        <v>60</v>
      </c>
      <c r="I199" s="1" t="s">
        <v>153</v>
      </c>
      <c r="J199" s="1" t="str">
        <f aca="false">IF(ABS(G199-66691.11)&lt;=0.01,"PASS","CHECK")</f>
        <v>PASS</v>
      </c>
    </row>
    <row r="200" customFormat="false" ht="15" hidden="false" customHeight="true" outlineLevel="0" collapsed="false">
      <c r="A200" s="1" t="s">
        <v>97</v>
      </c>
      <c r="B200" s="1" t="n">
        <v>0</v>
      </c>
      <c r="C200" s="1" t="n">
        <v>9</v>
      </c>
      <c r="D200" s="7" t="n">
        <v>45170</v>
      </c>
      <c r="E200" s="6" t="n">
        <f aca="false">G199</f>
        <v>66691.1106803806</v>
      </c>
      <c r="F200" s="6" t="n">
        <f aca="false">MIN(E200,ROUND(03_Initial_Recognition!$I$13/H200,2))</f>
        <v>1282.52</v>
      </c>
      <c r="G200" s="6" t="n">
        <f aca="false">MAX(0,E200-F200)</f>
        <v>65408.5906803806</v>
      </c>
      <c r="H200" s="1" t="n">
        <f aca="false">DATEDIF(01_Lease_Master!$D$13,01_Lease_Master!$AJ$13,"m")+IF(DAY(01_Lease_Master!$AJ$13)&gt;=DAY(01_Lease_Master!$D$13),1,0)</f>
        <v>60</v>
      </c>
      <c r="I200" s="1" t="s">
        <v>153</v>
      </c>
      <c r="J200" s="1" t="str">
        <f aca="false">IF(ABS(G200-65408.59)&lt;=0.01,"PASS","CHECK")</f>
        <v>PASS</v>
      </c>
    </row>
    <row r="201" customFormat="false" ht="15" hidden="false" customHeight="true" outlineLevel="0" collapsed="false">
      <c r="A201" s="1" t="s">
        <v>97</v>
      </c>
      <c r="B201" s="1" t="n">
        <v>0</v>
      </c>
      <c r="C201" s="1" t="n">
        <v>10</v>
      </c>
      <c r="D201" s="7" t="n">
        <v>45200</v>
      </c>
      <c r="E201" s="6" t="n">
        <f aca="false">G200</f>
        <v>65408.5906803806</v>
      </c>
      <c r="F201" s="6" t="n">
        <f aca="false">MIN(E201,ROUND(03_Initial_Recognition!$I$13/H201,2))</f>
        <v>1282.52</v>
      </c>
      <c r="G201" s="6" t="n">
        <f aca="false">MAX(0,E201-F201)</f>
        <v>64126.0706803806</v>
      </c>
      <c r="H201" s="1" t="n">
        <f aca="false">DATEDIF(01_Lease_Master!$D$13,01_Lease_Master!$AJ$13,"m")+IF(DAY(01_Lease_Master!$AJ$13)&gt;=DAY(01_Lease_Master!$D$13),1,0)</f>
        <v>60</v>
      </c>
      <c r="I201" s="1" t="s">
        <v>153</v>
      </c>
      <c r="J201" s="1" t="str">
        <f aca="false">IF(ABS(G201-64126.07)&lt;=0.01,"PASS","CHECK")</f>
        <v>PASS</v>
      </c>
    </row>
    <row r="202" customFormat="false" ht="15" hidden="false" customHeight="true" outlineLevel="0" collapsed="false">
      <c r="A202" s="1" t="s">
        <v>97</v>
      </c>
      <c r="B202" s="1" t="n">
        <v>0</v>
      </c>
      <c r="C202" s="1" t="n">
        <v>11</v>
      </c>
      <c r="D202" s="7" t="n">
        <v>45231</v>
      </c>
      <c r="E202" s="6" t="n">
        <f aca="false">G201</f>
        <v>64126.0706803806</v>
      </c>
      <c r="F202" s="6" t="n">
        <f aca="false">MIN(E202,ROUND(03_Initial_Recognition!$I$13/H202,2))</f>
        <v>1282.52</v>
      </c>
      <c r="G202" s="6" t="n">
        <f aca="false">MAX(0,E202-F202)</f>
        <v>62843.5506803806</v>
      </c>
      <c r="H202" s="1" t="n">
        <f aca="false">DATEDIF(01_Lease_Master!$D$13,01_Lease_Master!$AJ$13,"m")+IF(DAY(01_Lease_Master!$AJ$13)&gt;=DAY(01_Lease_Master!$D$13),1,0)</f>
        <v>60</v>
      </c>
      <c r="I202" s="1" t="s">
        <v>153</v>
      </c>
      <c r="J202" s="1" t="str">
        <f aca="false">IF(ABS(G202-62843.55)&lt;=0.01,"PASS","CHECK")</f>
        <v>PASS</v>
      </c>
    </row>
    <row r="203" customFormat="false" ht="15" hidden="false" customHeight="true" outlineLevel="0" collapsed="false">
      <c r="A203" s="1" t="s">
        <v>97</v>
      </c>
      <c r="B203" s="1" t="n">
        <v>0</v>
      </c>
      <c r="C203" s="1" t="n">
        <v>12</v>
      </c>
      <c r="D203" s="7" t="n">
        <v>45261</v>
      </c>
      <c r="E203" s="6" t="n">
        <f aca="false">G202</f>
        <v>62843.5506803806</v>
      </c>
      <c r="F203" s="6" t="n">
        <f aca="false">MIN(E203,ROUND(03_Initial_Recognition!$I$13/H203,2))</f>
        <v>1282.52</v>
      </c>
      <c r="G203" s="6" t="n">
        <f aca="false">MAX(0,E203-F203)</f>
        <v>61561.0306803806</v>
      </c>
      <c r="H203" s="1" t="n">
        <f aca="false">DATEDIF(01_Lease_Master!$D$13,01_Lease_Master!$AJ$13,"m")+IF(DAY(01_Lease_Master!$AJ$13)&gt;=DAY(01_Lease_Master!$D$13),1,0)</f>
        <v>60</v>
      </c>
      <c r="I203" s="1" t="s">
        <v>153</v>
      </c>
      <c r="J203" s="1" t="str">
        <f aca="false">IF(ABS(G203-61561.03)&lt;=0.01,"PASS","CHECK")</f>
        <v>PASS</v>
      </c>
    </row>
    <row r="204" customFormat="false" ht="15" hidden="false" customHeight="true" outlineLevel="0" collapsed="false">
      <c r="A204" s="1" t="s">
        <v>97</v>
      </c>
      <c r="B204" s="1" t="n">
        <v>0</v>
      </c>
      <c r="C204" s="1" t="n">
        <v>13</v>
      </c>
      <c r="D204" s="7" t="n">
        <v>45292</v>
      </c>
      <c r="E204" s="6" t="n">
        <f aca="false">G203</f>
        <v>61561.0306803806</v>
      </c>
      <c r="F204" s="6" t="n">
        <f aca="false">MIN(E204,ROUND(03_Initial_Recognition!$I$13/H204,2))</f>
        <v>1282.52</v>
      </c>
      <c r="G204" s="6" t="n">
        <f aca="false">MAX(0,E204-F204)</f>
        <v>60278.5106803806</v>
      </c>
      <c r="H204" s="1" t="n">
        <f aca="false">DATEDIF(01_Lease_Master!$D$13,01_Lease_Master!$AJ$13,"m")+IF(DAY(01_Lease_Master!$AJ$13)&gt;=DAY(01_Lease_Master!$D$13),1,0)</f>
        <v>60</v>
      </c>
      <c r="I204" s="1" t="s">
        <v>153</v>
      </c>
      <c r="J204" s="1" t="str">
        <f aca="false">IF(ABS(G204-60278.51)&lt;=0.01,"PASS","CHECK")</f>
        <v>PASS</v>
      </c>
    </row>
    <row r="205" customFormat="false" ht="15" hidden="false" customHeight="true" outlineLevel="0" collapsed="false">
      <c r="A205" s="1" t="s">
        <v>97</v>
      </c>
      <c r="B205" s="1" t="n">
        <v>0</v>
      </c>
      <c r="C205" s="1" t="n">
        <v>14</v>
      </c>
      <c r="D205" s="7" t="n">
        <v>45323</v>
      </c>
      <c r="E205" s="6" t="n">
        <f aca="false">G204</f>
        <v>60278.5106803806</v>
      </c>
      <c r="F205" s="6" t="n">
        <f aca="false">MIN(E205,ROUND(03_Initial_Recognition!$I$13/H205,2))</f>
        <v>1282.52</v>
      </c>
      <c r="G205" s="6" t="n">
        <f aca="false">MAX(0,E205-F205)</f>
        <v>58995.9906803806</v>
      </c>
      <c r="H205" s="1" t="n">
        <f aca="false">DATEDIF(01_Lease_Master!$D$13,01_Lease_Master!$AJ$13,"m")+IF(DAY(01_Lease_Master!$AJ$13)&gt;=DAY(01_Lease_Master!$D$13),1,0)</f>
        <v>60</v>
      </c>
      <c r="I205" s="1" t="s">
        <v>153</v>
      </c>
      <c r="J205" s="1" t="str">
        <f aca="false">IF(ABS(G205-58995.99)&lt;=0.01,"PASS","CHECK")</f>
        <v>PASS</v>
      </c>
    </row>
    <row r="206" customFormat="false" ht="15" hidden="false" customHeight="true" outlineLevel="0" collapsed="false">
      <c r="A206" s="1" t="s">
        <v>97</v>
      </c>
      <c r="B206" s="1" t="n">
        <v>0</v>
      </c>
      <c r="C206" s="1" t="n">
        <v>15</v>
      </c>
      <c r="D206" s="7" t="n">
        <v>45352</v>
      </c>
      <c r="E206" s="6" t="n">
        <f aca="false">G205</f>
        <v>58995.9906803806</v>
      </c>
      <c r="F206" s="6" t="n">
        <f aca="false">MIN(E206,ROUND(03_Initial_Recognition!$I$13/H206,2))</f>
        <v>1282.52</v>
      </c>
      <c r="G206" s="6" t="n">
        <f aca="false">MAX(0,E206-F206)</f>
        <v>57713.4706803806</v>
      </c>
      <c r="H206" s="1" t="n">
        <f aca="false">DATEDIF(01_Lease_Master!$D$13,01_Lease_Master!$AJ$13,"m")+IF(DAY(01_Lease_Master!$AJ$13)&gt;=DAY(01_Lease_Master!$D$13),1,0)</f>
        <v>60</v>
      </c>
      <c r="I206" s="1" t="s">
        <v>153</v>
      </c>
      <c r="J206" s="1" t="str">
        <f aca="false">IF(ABS(G206-57713.47)&lt;=0.01,"PASS","CHECK")</f>
        <v>PASS</v>
      </c>
    </row>
    <row r="207" customFormat="false" ht="15" hidden="false" customHeight="true" outlineLevel="0" collapsed="false">
      <c r="A207" s="1" t="s">
        <v>97</v>
      </c>
      <c r="B207" s="1" t="n">
        <v>0</v>
      </c>
      <c r="C207" s="1" t="n">
        <v>16</v>
      </c>
      <c r="D207" s="7" t="n">
        <v>45383</v>
      </c>
      <c r="E207" s="6" t="n">
        <f aca="false">G206</f>
        <v>57713.4706803806</v>
      </c>
      <c r="F207" s="6" t="n">
        <f aca="false">MIN(E207,ROUND(03_Initial_Recognition!$I$13/H207,2))</f>
        <v>1282.52</v>
      </c>
      <c r="G207" s="6" t="n">
        <f aca="false">MAX(0,E207-F207)</f>
        <v>56430.9506803806</v>
      </c>
      <c r="H207" s="1" t="n">
        <f aca="false">DATEDIF(01_Lease_Master!$D$13,01_Lease_Master!$AJ$13,"m")+IF(DAY(01_Lease_Master!$AJ$13)&gt;=DAY(01_Lease_Master!$D$13),1,0)</f>
        <v>60</v>
      </c>
      <c r="I207" s="1" t="s">
        <v>153</v>
      </c>
      <c r="J207" s="1" t="str">
        <f aca="false">IF(ABS(G207-56430.95)&lt;=0.01,"PASS","CHECK")</f>
        <v>PASS</v>
      </c>
    </row>
    <row r="208" customFormat="false" ht="15" hidden="false" customHeight="true" outlineLevel="0" collapsed="false">
      <c r="A208" s="1" t="s">
        <v>97</v>
      </c>
      <c r="B208" s="1" t="n">
        <v>0</v>
      </c>
      <c r="C208" s="1" t="n">
        <v>17</v>
      </c>
      <c r="D208" s="7" t="n">
        <v>45413</v>
      </c>
      <c r="E208" s="6" t="n">
        <f aca="false">G207</f>
        <v>56430.9506803806</v>
      </c>
      <c r="F208" s="6" t="n">
        <f aca="false">MIN(E208,ROUND(03_Initial_Recognition!$I$13/H208,2))</f>
        <v>1282.52</v>
      </c>
      <c r="G208" s="6" t="n">
        <f aca="false">MAX(0,E208-F208)</f>
        <v>55148.4306803806</v>
      </c>
      <c r="H208" s="1" t="n">
        <f aca="false">DATEDIF(01_Lease_Master!$D$13,01_Lease_Master!$AJ$13,"m")+IF(DAY(01_Lease_Master!$AJ$13)&gt;=DAY(01_Lease_Master!$D$13),1,0)</f>
        <v>60</v>
      </c>
      <c r="I208" s="1" t="s">
        <v>153</v>
      </c>
      <c r="J208" s="1" t="str">
        <f aca="false">IF(ABS(G208-55148.43)&lt;=0.01,"PASS","CHECK")</f>
        <v>PASS</v>
      </c>
    </row>
    <row r="209" customFormat="false" ht="15" hidden="false" customHeight="true" outlineLevel="0" collapsed="false">
      <c r="A209" s="1" t="s">
        <v>97</v>
      </c>
      <c r="B209" s="1" t="n">
        <v>0</v>
      </c>
      <c r="C209" s="1" t="n">
        <v>18</v>
      </c>
      <c r="D209" s="7" t="n">
        <v>45444</v>
      </c>
      <c r="E209" s="6" t="n">
        <f aca="false">G208</f>
        <v>55148.4306803806</v>
      </c>
      <c r="F209" s="6" t="n">
        <f aca="false">MIN(E209,ROUND(03_Initial_Recognition!$I$13/H209,2))</f>
        <v>1282.52</v>
      </c>
      <c r="G209" s="6" t="n">
        <f aca="false">MAX(0,E209-F209)</f>
        <v>53865.9106803806</v>
      </c>
      <c r="H209" s="1" t="n">
        <f aca="false">DATEDIF(01_Lease_Master!$D$13,01_Lease_Master!$AJ$13,"m")+IF(DAY(01_Lease_Master!$AJ$13)&gt;=DAY(01_Lease_Master!$D$13),1,0)</f>
        <v>60</v>
      </c>
      <c r="I209" s="1" t="s">
        <v>153</v>
      </c>
      <c r="J209" s="1" t="str">
        <f aca="false">IF(ABS(G209-53865.91)&lt;=0.01,"PASS","CHECK")</f>
        <v>PASS</v>
      </c>
    </row>
    <row r="210" customFormat="false" ht="15" hidden="false" customHeight="true" outlineLevel="0" collapsed="false">
      <c r="A210" s="1" t="s">
        <v>97</v>
      </c>
      <c r="B210" s="1" t="n">
        <v>0</v>
      </c>
      <c r="C210" s="1" t="n">
        <v>19</v>
      </c>
      <c r="D210" s="7" t="n">
        <v>45474</v>
      </c>
      <c r="E210" s="6" t="n">
        <f aca="false">G209</f>
        <v>53865.9106803806</v>
      </c>
      <c r="F210" s="6" t="n">
        <f aca="false">MIN(E210,ROUND(03_Initial_Recognition!$I$13/H210,2))</f>
        <v>1282.52</v>
      </c>
      <c r="G210" s="6" t="n">
        <f aca="false">MAX(0,E210-F210)</f>
        <v>52583.3906803806</v>
      </c>
      <c r="H210" s="1" t="n">
        <f aca="false">DATEDIF(01_Lease_Master!$D$13,01_Lease_Master!$AJ$13,"m")+IF(DAY(01_Lease_Master!$AJ$13)&gt;=DAY(01_Lease_Master!$D$13),1,0)</f>
        <v>60</v>
      </c>
      <c r="I210" s="1" t="s">
        <v>153</v>
      </c>
      <c r="J210" s="1" t="str">
        <f aca="false">IF(ABS(G210-52583.39)&lt;=0.01,"PASS","CHECK")</f>
        <v>PASS</v>
      </c>
    </row>
    <row r="211" customFormat="false" ht="15" hidden="false" customHeight="true" outlineLevel="0" collapsed="false">
      <c r="A211" s="1" t="s">
        <v>97</v>
      </c>
      <c r="B211" s="1" t="n">
        <v>0</v>
      </c>
      <c r="C211" s="1" t="n">
        <v>20</v>
      </c>
      <c r="D211" s="7" t="n">
        <v>45505</v>
      </c>
      <c r="E211" s="6" t="n">
        <f aca="false">G210</f>
        <v>52583.3906803806</v>
      </c>
      <c r="F211" s="6" t="n">
        <f aca="false">MIN(E211,ROUND(03_Initial_Recognition!$I$13/H211,2))</f>
        <v>1282.52</v>
      </c>
      <c r="G211" s="6" t="n">
        <f aca="false">MAX(0,E211-F211)</f>
        <v>51300.8706803806</v>
      </c>
      <c r="H211" s="1" t="n">
        <f aca="false">DATEDIF(01_Lease_Master!$D$13,01_Lease_Master!$AJ$13,"m")+IF(DAY(01_Lease_Master!$AJ$13)&gt;=DAY(01_Lease_Master!$D$13),1,0)</f>
        <v>60</v>
      </c>
      <c r="I211" s="1" t="s">
        <v>153</v>
      </c>
      <c r="J211" s="1" t="str">
        <f aca="false">IF(ABS(G211-51300.87)&lt;=0.01,"PASS","CHECK")</f>
        <v>PASS</v>
      </c>
    </row>
    <row r="212" customFormat="false" ht="15" hidden="false" customHeight="true" outlineLevel="0" collapsed="false">
      <c r="A212" s="1" t="s">
        <v>97</v>
      </c>
      <c r="B212" s="1" t="n">
        <v>0</v>
      </c>
      <c r="C212" s="1" t="n">
        <v>21</v>
      </c>
      <c r="D212" s="7" t="n">
        <v>45536</v>
      </c>
      <c r="E212" s="6" t="n">
        <f aca="false">G211</f>
        <v>51300.8706803806</v>
      </c>
      <c r="F212" s="6" t="n">
        <f aca="false">MIN(E212,ROUND(03_Initial_Recognition!$I$13/H212,2))</f>
        <v>1282.52</v>
      </c>
      <c r="G212" s="6" t="n">
        <f aca="false">MAX(0,E212-F212)</f>
        <v>50018.3506803806</v>
      </c>
      <c r="H212" s="1" t="n">
        <f aca="false">DATEDIF(01_Lease_Master!$D$13,01_Lease_Master!$AJ$13,"m")+IF(DAY(01_Lease_Master!$AJ$13)&gt;=DAY(01_Lease_Master!$D$13),1,0)</f>
        <v>60</v>
      </c>
      <c r="I212" s="1" t="s">
        <v>153</v>
      </c>
      <c r="J212" s="1" t="str">
        <f aca="false">IF(ABS(G212-50018.35)&lt;=0.01,"PASS","CHECK")</f>
        <v>PASS</v>
      </c>
    </row>
    <row r="213" customFormat="false" ht="15" hidden="false" customHeight="true" outlineLevel="0" collapsed="false">
      <c r="A213" s="1" t="s">
        <v>97</v>
      </c>
      <c r="B213" s="1" t="n">
        <v>0</v>
      </c>
      <c r="C213" s="1" t="n">
        <v>22</v>
      </c>
      <c r="D213" s="7" t="n">
        <v>45566</v>
      </c>
      <c r="E213" s="6" t="n">
        <f aca="false">G212</f>
        <v>50018.3506803806</v>
      </c>
      <c r="F213" s="6" t="n">
        <f aca="false">MIN(E213,ROUND(03_Initial_Recognition!$I$13/H213,2))</f>
        <v>1282.52</v>
      </c>
      <c r="G213" s="6" t="n">
        <f aca="false">MAX(0,E213-F213)</f>
        <v>48735.8306803807</v>
      </c>
      <c r="H213" s="1" t="n">
        <f aca="false">DATEDIF(01_Lease_Master!$D$13,01_Lease_Master!$AJ$13,"m")+IF(DAY(01_Lease_Master!$AJ$13)&gt;=DAY(01_Lease_Master!$D$13),1,0)</f>
        <v>60</v>
      </c>
      <c r="I213" s="1" t="s">
        <v>153</v>
      </c>
      <c r="J213" s="1" t="str">
        <f aca="false">IF(ABS(G213-48735.83)&lt;=0.01,"PASS","CHECK")</f>
        <v>PASS</v>
      </c>
    </row>
    <row r="214" customFormat="false" ht="15" hidden="false" customHeight="true" outlineLevel="0" collapsed="false">
      <c r="A214" s="1" t="s">
        <v>97</v>
      </c>
      <c r="B214" s="1" t="n">
        <v>0</v>
      </c>
      <c r="C214" s="1" t="n">
        <v>23</v>
      </c>
      <c r="D214" s="7" t="n">
        <v>45597</v>
      </c>
      <c r="E214" s="6" t="n">
        <f aca="false">G213</f>
        <v>48735.8306803807</v>
      </c>
      <c r="F214" s="6" t="n">
        <f aca="false">MIN(E214,ROUND(03_Initial_Recognition!$I$13/H214,2))</f>
        <v>1282.52</v>
      </c>
      <c r="G214" s="6" t="n">
        <f aca="false">MAX(0,E214-F214)</f>
        <v>47453.3106803807</v>
      </c>
      <c r="H214" s="1" t="n">
        <f aca="false">DATEDIF(01_Lease_Master!$D$13,01_Lease_Master!$AJ$13,"m")+IF(DAY(01_Lease_Master!$AJ$13)&gt;=DAY(01_Lease_Master!$D$13),1,0)</f>
        <v>60</v>
      </c>
      <c r="I214" s="1" t="s">
        <v>153</v>
      </c>
      <c r="J214" s="1" t="str">
        <f aca="false">IF(ABS(G214-47453.31)&lt;=0.01,"PASS","CHECK")</f>
        <v>PASS</v>
      </c>
    </row>
    <row r="215" customFormat="false" ht="15" hidden="false" customHeight="true" outlineLevel="0" collapsed="false">
      <c r="A215" s="1" t="s">
        <v>97</v>
      </c>
      <c r="B215" s="1" t="n">
        <v>0</v>
      </c>
      <c r="C215" s="1" t="n">
        <v>24</v>
      </c>
      <c r="D215" s="7" t="n">
        <v>45627</v>
      </c>
      <c r="E215" s="6" t="n">
        <f aca="false">G214</f>
        <v>47453.3106803807</v>
      </c>
      <c r="F215" s="6" t="n">
        <f aca="false">MIN(E215,ROUND(03_Initial_Recognition!$I$13/H215,2))</f>
        <v>1282.52</v>
      </c>
      <c r="G215" s="6" t="n">
        <f aca="false">MAX(0,E215-F215)</f>
        <v>46170.7906803807</v>
      </c>
      <c r="H215" s="1" t="n">
        <f aca="false">DATEDIF(01_Lease_Master!$D$13,01_Lease_Master!$AJ$13,"m")+IF(DAY(01_Lease_Master!$AJ$13)&gt;=DAY(01_Lease_Master!$D$13),1,0)</f>
        <v>60</v>
      </c>
      <c r="I215" s="1" t="s">
        <v>153</v>
      </c>
      <c r="J215" s="1" t="str">
        <f aca="false">IF(ABS(G215-46170.79)&lt;=0.01,"PASS","CHECK")</f>
        <v>PASS</v>
      </c>
    </row>
    <row r="216" customFormat="false" ht="15" hidden="false" customHeight="true" outlineLevel="0" collapsed="false">
      <c r="A216" s="1" t="s">
        <v>97</v>
      </c>
      <c r="B216" s="1" t="n">
        <v>0</v>
      </c>
      <c r="C216" s="1" t="n">
        <v>25</v>
      </c>
      <c r="D216" s="7" t="n">
        <v>45658</v>
      </c>
      <c r="E216" s="6" t="n">
        <f aca="false">G215</f>
        <v>46170.7906803807</v>
      </c>
      <c r="F216" s="6" t="n">
        <f aca="false">MIN(E216,ROUND(03_Initial_Recognition!$I$13/H216,2))</f>
        <v>1282.52</v>
      </c>
      <c r="G216" s="6" t="n">
        <f aca="false">MAX(0,E216-F216)</f>
        <v>44888.2706803807</v>
      </c>
      <c r="H216" s="1" t="n">
        <f aca="false">DATEDIF(01_Lease_Master!$D$13,01_Lease_Master!$AJ$13,"m")+IF(DAY(01_Lease_Master!$AJ$13)&gt;=DAY(01_Lease_Master!$D$13),1,0)</f>
        <v>60</v>
      </c>
      <c r="I216" s="1" t="s">
        <v>153</v>
      </c>
      <c r="J216" s="1" t="str">
        <f aca="false">IF(ABS(G216-44888.27)&lt;=0.01,"PASS","CHECK")</f>
        <v>PASS</v>
      </c>
    </row>
    <row r="217" customFormat="false" ht="15" hidden="false" customHeight="true" outlineLevel="0" collapsed="false">
      <c r="A217" s="1" t="s">
        <v>97</v>
      </c>
      <c r="B217" s="1" t="n">
        <v>0</v>
      </c>
      <c r="C217" s="1" t="n">
        <v>26</v>
      </c>
      <c r="D217" s="7" t="n">
        <v>45689</v>
      </c>
      <c r="E217" s="6" t="n">
        <f aca="false">G216</f>
        <v>44888.2706803807</v>
      </c>
      <c r="F217" s="6" t="n">
        <f aca="false">MIN(E217,ROUND(03_Initial_Recognition!$I$13/H217,2))</f>
        <v>1282.52</v>
      </c>
      <c r="G217" s="6" t="n">
        <f aca="false">MAX(0,E217-F217)</f>
        <v>43605.7506803807</v>
      </c>
      <c r="H217" s="1" t="n">
        <f aca="false">DATEDIF(01_Lease_Master!$D$13,01_Lease_Master!$AJ$13,"m")+IF(DAY(01_Lease_Master!$AJ$13)&gt;=DAY(01_Lease_Master!$D$13),1,0)</f>
        <v>60</v>
      </c>
      <c r="I217" s="1" t="s">
        <v>153</v>
      </c>
      <c r="J217" s="1" t="str">
        <f aca="false">IF(ABS(G217-43605.75)&lt;=0.01,"PASS","CHECK")</f>
        <v>PASS</v>
      </c>
    </row>
    <row r="218" customFormat="false" ht="15" hidden="false" customHeight="true" outlineLevel="0" collapsed="false">
      <c r="A218" s="1" t="s">
        <v>97</v>
      </c>
      <c r="B218" s="1" t="n">
        <v>0</v>
      </c>
      <c r="C218" s="1" t="n">
        <v>27</v>
      </c>
      <c r="D218" s="7" t="n">
        <v>45717</v>
      </c>
      <c r="E218" s="6" t="n">
        <f aca="false">G217</f>
        <v>43605.7506803807</v>
      </c>
      <c r="F218" s="6" t="n">
        <f aca="false">MIN(E218,ROUND(03_Initial_Recognition!$I$13/H218,2))</f>
        <v>1282.52</v>
      </c>
      <c r="G218" s="6" t="n">
        <f aca="false">MAX(0,E218-F218)</f>
        <v>42323.2306803807</v>
      </c>
      <c r="H218" s="1" t="n">
        <f aca="false">DATEDIF(01_Lease_Master!$D$13,01_Lease_Master!$AJ$13,"m")+IF(DAY(01_Lease_Master!$AJ$13)&gt;=DAY(01_Lease_Master!$D$13),1,0)</f>
        <v>60</v>
      </c>
      <c r="I218" s="1" t="s">
        <v>153</v>
      </c>
      <c r="J218" s="1" t="str">
        <f aca="false">IF(ABS(G218-42323.23)&lt;=0.01,"PASS","CHECK")</f>
        <v>PASS</v>
      </c>
    </row>
    <row r="219" customFormat="false" ht="15" hidden="false" customHeight="true" outlineLevel="0" collapsed="false">
      <c r="A219" s="1" t="s">
        <v>97</v>
      </c>
      <c r="B219" s="1" t="n">
        <v>0</v>
      </c>
      <c r="C219" s="1" t="n">
        <v>28</v>
      </c>
      <c r="D219" s="7" t="n">
        <v>45748</v>
      </c>
      <c r="E219" s="6" t="n">
        <f aca="false">G218</f>
        <v>42323.2306803807</v>
      </c>
      <c r="F219" s="6" t="n">
        <f aca="false">MIN(E219,ROUND(03_Initial_Recognition!$I$13/H219,2))</f>
        <v>1282.52</v>
      </c>
      <c r="G219" s="6" t="n">
        <f aca="false">MAX(0,E219-F219)</f>
        <v>41040.7106803807</v>
      </c>
      <c r="H219" s="1" t="n">
        <f aca="false">DATEDIF(01_Lease_Master!$D$13,01_Lease_Master!$AJ$13,"m")+IF(DAY(01_Lease_Master!$AJ$13)&gt;=DAY(01_Lease_Master!$D$13),1,0)</f>
        <v>60</v>
      </c>
      <c r="I219" s="1" t="s">
        <v>153</v>
      </c>
      <c r="J219" s="1" t="str">
        <f aca="false">IF(ABS(G219-41040.71)&lt;=0.01,"PASS","CHECK")</f>
        <v>PASS</v>
      </c>
    </row>
    <row r="220" customFormat="false" ht="15" hidden="false" customHeight="true" outlineLevel="0" collapsed="false">
      <c r="A220" s="1" t="s">
        <v>97</v>
      </c>
      <c r="B220" s="1" t="n">
        <v>0</v>
      </c>
      <c r="C220" s="1" t="n">
        <v>29</v>
      </c>
      <c r="D220" s="7" t="n">
        <v>45778</v>
      </c>
      <c r="E220" s="6" t="n">
        <f aca="false">G219</f>
        <v>41040.7106803807</v>
      </c>
      <c r="F220" s="6" t="n">
        <f aca="false">MIN(E220,ROUND(03_Initial_Recognition!$I$13/H220,2))</f>
        <v>1282.52</v>
      </c>
      <c r="G220" s="6" t="n">
        <f aca="false">MAX(0,E220-F220)</f>
        <v>39758.1906803807</v>
      </c>
      <c r="H220" s="1" t="n">
        <f aca="false">DATEDIF(01_Lease_Master!$D$13,01_Lease_Master!$AJ$13,"m")+IF(DAY(01_Lease_Master!$AJ$13)&gt;=DAY(01_Lease_Master!$D$13),1,0)</f>
        <v>60</v>
      </c>
      <c r="I220" s="1" t="s">
        <v>153</v>
      </c>
      <c r="J220" s="1" t="str">
        <f aca="false">IF(ABS(G220-39758.19)&lt;=0.01,"PASS","CHECK")</f>
        <v>PASS</v>
      </c>
    </row>
    <row r="221" customFormat="false" ht="15" hidden="false" customHeight="true" outlineLevel="0" collapsed="false">
      <c r="A221" s="1" t="s">
        <v>97</v>
      </c>
      <c r="B221" s="1" t="n">
        <v>0</v>
      </c>
      <c r="C221" s="1" t="n">
        <v>30</v>
      </c>
      <c r="D221" s="7" t="n">
        <v>45809</v>
      </c>
      <c r="E221" s="6" t="n">
        <f aca="false">G220</f>
        <v>39758.1906803807</v>
      </c>
      <c r="F221" s="6" t="n">
        <f aca="false">MIN(E221,ROUND(03_Initial_Recognition!$I$13/H221,2))</f>
        <v>1282.52</v>
      </c>
      <c r="G221" s="6" t="n">
        <f aca="false">MAX(0,E221-F221)</f>
        <v>38475.6706803807</v>
      </c>
      <c r="H221" s="1" t="n">
        <f aca="false">DATEDIF(01_Lease_Master!$D$13,01_Lease_Master!$AJ$13,"m")+IF(DAY(01_Lease_Master!$AJ$13)&gt;=DAY(01_Lease_Master!$D$13),1,0)</f>
        <v>60</v>
      </c>
      <c r="I221" s="1" t="s">
        <v>153</v>
      </c>
      <c r="J221" s="1" t="str">
        <f aca="false">IF(ABS(G221-38475.67)&lt;=0.01,"PASS","CHECK")</f>
        <v>PASS</v>
      </c>
    </row>
    <row r="222" customFormat="false" ht="15" hidden="false" customHeight="true" outlineLevel="0" collapsed="false">
      <c r="A222" s="1" t="s">
        <v>97</v>
      </c>
      <c r="B222" s="1" t="n">
        <v>0</v>
      </c>
      <c r="C222" s="1" t="n">
        <v>31</v>
      </c>
      <c r="D222" s="7" t="n">
        <v>45839</v>
      </c>
      <c r="E222" s="6" t="n">
        <f aca="false">G221</f>
        <v>38475.6706803807</v>
      </c>
      <c r="F222" s="6" t="n">
        <f aca="false">MIN(E222,ROUND(03_Initial_Recognition!$I$13/H222,2))</f>
        <v>1282.52</v>
      </c>
      <c r="G222" s="6" t="n">
        <f aca="false">MAX(0,E222-F222)</f>
        <v>37193.1506803807</v>
      </c>
      <c r="H222" s="1" t="n">
        <f aca="false">DATEDIF(01_Lease_Master!$D$13,01_Lease_Master!$AJ$13,"m")+IF(DAY(01_Lease_Master!$AJ$13)&gt;=DAY(01_Lease_Master!$D$13),1,0)</f>
        <v>60</v>
      </c>
      <c r="I222" s="1" t="s">
        <v>153</v>
      </c>
      <c r="J222" s="1" t="str">
        <f aca="false">IF(ABS(G222-37193.15)&lt;=0.01,"PASS","CHECK")</f>
        <v>PASS</v>
      </c>
    </row>
    <row r="223" customFormat="false" ht="15" hidden="false" customHeight="true" outlineLevel="0" collapsed="false">
      <c r="A223" s="1" t="s">
        <v>97</v>
      </c>
      <c r="B223" s="1" t="n">
        <v>0</v>
      </c>
      <c r="C223" s="1" t="n">
        <v>32</v>
      </c>
      <c r="D223" s="7" t="n">
        <v>45870</v>
      </c>
      <c r="E223" s="6" t="n">
        <f aca="false">G222</f>
        <v>37193.1506803807</v>
      </c>
      <c r="F223" s="6" t="n">
        <f aca="false">MIN(E223,ROUND(03_Initial_Recognition!$I$13/H223,2))</f>
        <v>1282.52</v>
      </c>
      <c r="G223" s="6" t="n">
        <f aca="false">MAX(0,E223-F223)</f>
        <v>35910.6306803807</v>
      </c>
      <c r="H223" s="1" t="n">
        <f aca="false">DATEDIF(01_Lease_Master!$D$13,01_Lease_Master!$AJ$13,"m")+IF(DAY(01_Lease_Master!$AJ$13)&gt;=DAY(01_Lease_Master!$D$13),1,0)</f>
        <v>60</v>
      </c>
      <c r="I223" s="1" t="s">
        <v>153</v>
      </c>
      <c r="J223" s="1" t="str">
        <f aca="false">IF(ABS(G223-35910.63)&lt;=0.01,"PASS","CHECK")</f>
        <v>PASS</v>
      </c>
    </row>
    <row r="224" customFormat="false" ht="15" hidden="false" customHeight="true" outlineLevel="0" collapsed="false">
      <c r="A224" s="1" t="s">
        <v>97</v>
      </c>
      <c r="B224" s="1" t="n">
        <v>0</v>
      </c>
      <c r="C224" s="1" t="n">
        <v>33</v>
      </c>
      <c r="D224" s="7" t="n">
        <v>45901</v>
      </c>
      <c r="E224" s="6" t="n">
        <f aca="false">G223</f>
        <v>35910.6306803807</v>
      </c>
      <c r="F224" s="6" t="n">
        <f aca="false">MIN(E224,ROUND(03_Initial_Recognition!$I$13/H224,2))</f>
        <v>1282.52</v>
      </c>
      <c r="G224" s="6" t="n">
        <f aca="false">MAX(0,E224-F224)</f>
        <v>34628.1106803807</v>
      </c>
      <c r="H224" s="1" t="n">
        <f aca="false">DATEDIF(01_Lease_Master!$D$13,01_Lease_Master!$AJ$13,"m")+IF(DAY(01_Lease_Master!$AJ$13)&gt;=DAY(01_Lease_Master!$D$13),1,0)</f>
        <v>60</v>
      </c>
      <c r="I224" s="1" t="s">
        <v>153</v>
      </c>
      <c r="J224" s="1" t="str">
        <f aca="false">IF(ABS(G224-34628.11)&lt;=0.01,"PASS","CHECK")</f>
        <v>PASS</v>
      </c>
    </row>
    <row r="225" customFormat="false" ht="15" hidden="false" customHeight="true" outlineLevel="0" collapsed="false">
      <c r="A225" s="1" t="s">
        <v>97</v>
      </c>
      <c r="B225" s="1" t="n">
        <v>0</v>
      </c>
      <c r="C225" s="1" t="n">
        <v>34</v>
      </c>
      <c r="D225" s="7" t="n">
        <v>45931</v>
      </c>
      <c r="E225" s="6" t="n">
        <f aca="false">G224</f>
        <v>34628.1106803807</v>
      </c>
      <c r="F225" s="6" t="n">
        <f aca="false">MIN(E225,ROUND(03_Initial_Recognition!$I$13/H225,2))</f>
        <v>1282.52</v>
      </c>
      <c r="G225" s="6" t="n">
        <f aca="false">MAX(0,E225-F225)</f>
        <v>33345.5906803807</v>
      </c>
      <c r="H225" s="1" t="n">
        <f aca="false">DATEDIF(01_Lease_Master!$D$13,01_Lease_Master!$AJ$13,"m")+IF(DAY(01_Lease_Master!$AJ$13)&gt;=DAY(01_Lease_Master!$D$13),1,0)</f>
        <v>60</v>
      </c>
      <c r="I225" s="1" t="s">
        <v>153</v>
      </c>
      <c r="J225" s="1" t="str">
        <f aca="false">IF(ABS(G225-33345.59)&lt;=0.01,"PASS","CHECK")</f>
        <v>PASS</v>
      </c>
    </row>
    <row r="226" customFormat="false" ht="15" hidden="false" customHeight="true" outlineLevel="0" collapsed="false">
      <c r="A226" s="1" t="s">
        <v>97</v>
      </c>
      <c r="B226" s="1" t="n">
        <v>0</v>
      </c>
      <c r="C226" s="1" t="n">
        <v>35</v>
      </c>
      <c r="D226" s="7" t="n">
        <v>45962</v>
      </c>
      <c r="E226" s="6" t="n">
        <f aca="false">G225</f>
        <v>33345.5906803807</v>
      </c>
      <c r="F226" s="6" t="n">
        <f aca="false">MIN(E226,ROUND(03_Initial_Recognition!$I$13/H226,2))</f>
        <v>1282.52</v>
      </c>
      <c r="G226" s="6" t="n">
        <f aca="false">MAX(0,E226-F226)</f>
        <v>32063.0706803807</v>
      </c>
      <c r="H226" s="1" t="n">
        <f aca="false">DATEDIF(01_Lease_Master!$D$13,01_Lease_Master!$AJ$13,"m")+IF(DAY(01_Lease_Master!$AJ$13)&gt;=DAY(01_Lease_Master!$D$13),1,0)</f>
        <v>60</v>
      </c>
      <c r="I226" s="1" t="s">
        <v>153</v>
      </c>
      <c r="J226" s="1" t="str">
        <f aca="false">IF(ABS(G226-32063.07)&lt;=0.01,"PASS","CHECK")</f>
        <v>PASS</v>
      </c>
    </row>
    <row r="227" customFormat="false" ht="15" hidden="false" customHeight="true" outlineLevel="0" collapsed="false">
      <c r="A227" s="1" t="s">
        <v>97</v>
      </c>
      <c r="B227" s="1" t="n">
        <v>0</v>
      </c>
      <c r="C227" s="1" t="n">
        <v>36</v>
      </c>
      <c r="D227" s="7" t="n">
        <v>45992</v>
      </c>
      <c r="E227" s="6" t="n">
        <f aca="false">G226</f>
        <v>32063.0706803807</v>
      </c>
      <c r="F227" s="6" t="n">
        <f aca="false">MIN(E227,ROUND(03_Initial_Recognition!$I$13/H227,2))</f>
        <v>1282.52</v>
      </c>
      <c r="G227" s="6" t="n">
        <f aca="false">MAX(0,E227-F227)</f>
        <v>30780.5506803807</v>
      </c>
      <c r="H227" s="1" t="n">
        <f aca="false">DATEDIF(01_Lease_Master!$D$13,01_Lease_Master!$AJ$13,"m")+IF(DAY(01_Lease_Master!$AJ$13)&gt;=DAY(01_Lease_Master!$D$13),1,0)</f>
        <v>60</v>
      </c>
      <c r="I227" s="1" t="s">
        <v>153</v>
      </c>
      <c r="J227" s="1" t="str">
        <f aca="false">IF(ABS(G227-30780.55)&lt;=0.01,"PASS","CHECK")</f>
        <v>PASS</v>
      </c>
    </row>
    <row r="228" customFormat="false" ht="15" hidden="false" customHeight="true" outlineLevel="0" collapsed="false">
      <c r="A228" s="1" t="s">
        <v>97</v>
      </c>
      <c r="B228" s="1" t="n">
        <v>0</v>
      </c>
      <c r="C228" s="1" t="n">
        <v>37</v>
      </c>
      <c r="D228" s="7" t="n">
        <v>46023</v>
      </c>
      <c r="E228" s="6" t="n">
        <f aca="false">G227</f>
        <v>30780.5506803807</v>
      </c>
      <c r="F228" s="6" t="n">
        <f aca="false">MIN(E228,ROUND(03_Initial_Recognition!$I$13/H228,2))</f>
        <v>1282.52</v>
      </c>
      <c r="G228" s="6" t="n">
        <f aca="false">MAX(0,E228-F228)</f>
        <v>29498.0306803807</v>
      </c>
      <c r="H228" s="1" t="n">
        <f aca="false">DATEDIF(01_Lease_Master!$D$13,01_Lease_Master!$AJ$13,"m")+IF(DAY(01_Lease_Master!$AJ$13)&gt;=DAY(01_Lease_Master!$D$13),1,0)</f>
        <v>60</v>
      </c>
      <c r="I228" s="1" t="s">
        <v>153</v>
      </c>
      <c r="J228" s="1" t="str">
        <f aca="false">IF(ABS(G228-29498.03)&lt;=0.01,"PASS","CHECK")</f>
        <v>PASS</v>
      </c>
    </row>
    <row r="229" customFormat="false" ht="15" hidden="false" customHeight="true" outlineLevel="0" collapsed="false">
      <c r="A229" s="1" t="s">
        <v>97</v>
      </c>
      <c r="B229" s="1" t="n">
        <v>0</v>
      </c>
      <c r="C229" s="1" t="n">
        <v>38</v>
      </c>
      <c r="D229" s="7" t="n">
        <v>46054</v>
      </c>
      <c r="E229" s="6" t="n">
        <f aca="false">G228</f>
        <v>29498.0306803807</v>
      </c>
      <c r="F229" s="6" t="n">
        <f aca="false">MIN(E229,ROUND(03_Initial_Recognition!$I$13/H229,2))</f>
        <v>1282.52</v>
      </c>
      <c r="G229" s="6" t="n">
        <f aca="false">MAX(0,E229-F229)</f>
        <v>28215.5106803807</v>
      </c>
      <c r="H229" s="1" t="n">
        <f aca="false">DATEDIF(01_Lease_Master!$D$13,01_Lease_Master!$AJ$13,"m")+IF(DAY(01_Lease_Master!$AJ$13)&gt;=DAY(01_Lease_Master!$D$13),1,0)</f>
        <v>60</v>
      </c>
      <c r="I229" s="1" t="s">
        <v>153</v>
      </c>
      <c r="J229" s="1" t="str">
        <f aca="false">IF(ABS(G229-28215.51)&lt;=0.01,"PASS","CHECK")</f>
        <v>PASS</v>
      </c>
    </row>
    <row r="230" customFormat="false" ht="15" hidden="false" customHeight="true" outlineLevel="0" collapsed="false">
      <c r="A230" s="1" t="s">
        <v>97</v>
      </c>
      <c r="B230" s="1" t="n">
        <v>0</v>
      </c>
      <c r="C230" s="1" t="n">
        <v>39</v>
      </c>
      <c r="D230" s="7" t="n">
        <v>46082</v>
      </c>
      <c r="E230" s="6" t="n">
        <f aca="false">G229</f>
        <v>28215.5106803807</v>
      </c>
      <c r="F230" s="6" t="n">
        <f aca="false">MIN(E230,ROUND(03_Initial_Recognition!$I$13/H230,2))</f>
        <v>1282.52</v>
      </c>
      <c r="G230" s="6" t="n">
        <f aca="false">MAX(0,E230-F230)</f>
        <v>26932.9906803807</v>
      </c>
      <c r="H230" s="1" t="n">
        <f aca="false">DATEDIF(01_Lease_Master!$D$13,01_Lease_Master!$AJ$13,"m")+IF(DAY(01_Lease_Master!$AJ$13)&gt;=DAY(01_Lease_Master!$D$13),1,0)</f>
        <v>60</v>
      </c>
      <c r="I230" s="1" t="s">
        <v>153</v>
      </c>
      <c r="J230" s="1" t="str">
        <f aca="false">IF(ABS(G230-26932.99)&lt;=0.01,"PASS","CHECK")</f>
        <v>PASS</v>
      </c>
    </row>
    <row r="231" customFormat="false" ht="15" hidden="false" customHeight="true" outlineLevel="0" collapsed="false">
      <c r="A231" s="1" t="s">
        <v>97</v>
      </c>
      <c r="B231" s="1" t="n">
        <v>0</v>
      </c>
      <c r="C231" s="1" t="n">
        <v>40</v>
      </c>
      <c r="D231" s="7" t="n">
        <v>46113</v>
      </c>
      <c r="E231" s="6" t="n">
        <f aca="false">G230</f>
        <v>26932.9906803807</v>
      </c>
      <c r="F231" s="6" t="n">
        <f aca="false">MIN(E231,ROUND(03_Initial_Recognition!$I$13/H231,2))</f>
        <v>1282.52</v>
      </c>
      <c r="G231" s="6" t="n">
        <f aca="false">MAX(0,E231-F231)</f>
        <v>25650.4706803807</v>
      </c>
      <c r="H231" s="1" t="n">
        <f aca="false">DATEDIF(01_Lease_Master!$D$13,01_Lease_Master!$AJ$13,"m")+IF(DAY(01_Lease_Master!$AJ$13)&gt;=DAY(01_Lease_Master!$D$13),1,0)</f>
        <v>60</v>
      </c>
      <c r="I231" s="1" t="s">
        <v>153</v>
      </c>
      <c r="J231" s="1" t="str">
        <f aca="false">IF(ABS(G231-25650.47)&lt;=0.01,"PASS","CHECK")</f>
        <v>PASS</v>
      </c>
    </row>
    <row r="232" customFormat="false" ht="15" hidden="false" customHeight="true" outlineLevel="0" collapsed="false">
      <c r="A232" s="1" t="s">
        <v>97</v>
      </c>
      <c r="B232" s="1" t="n">
        <v>0</v>
      </c>
      <c r="C232" s="1" t="n">
        <v>41</v>
      </c>
      <c r="D232" s="7" t="n">
        <v>46143</v>
      </c>
      <c r="E232" s="6" t="n">
        <f aca="false">G231</f>
        <v>25650.4706803807</v>
      </c>
      <c r="F232" s="6" t="n">
        <f aca="false">MIN(E232,ROUND(03_Initial_Recognition!$I$13/H232,2))</f>
        <v>1282.52</v>
      </c>
      <c r="G232" s="6" t="n">
        <f aca="false">MAX(0,E232-F232)</f>
        <v>24367.9506803807</v>
      </c>
      <c r="H232" s="1" t="n">
        <f aca="false">DATEDIF(01_Lease_Master!$D$13,01_Lease_Master!$AJ$13,"m")+IF(DAY(01_Lease_Master!$AJ$13)&gt;=DAY(01_Lease_Master!$D$13),1,0)</f>
        <v>60</v>
      </c>
      <c r="I232" s="1" t="s">
        <v>153</v>
      </c>
      <c r="J232" s="1" t="str">
        <f aca="false">IF(ABS(G232-24367.95)&lt;=0.01,"PASS","CHECK")</f>
        <v>PASS</v>
      </c>
    </row>
    <row r="233" customFormat="false" ht="15" hidden="false" customHeight="true" outlineLevel="0" collapsed="false">
      <c r="A233" s="1" t="s">
        <v>97</v>
      </c>
      <c r="B233" s="1" t="n">
        <v>0</v>
      </c>
      <c r="C233" s="1" t="n">
        <v>42</v>
      </c>
      <c r="D233" s="7" t="n">
        <v>46174</v>
      </c>
      <c r="E233" s="6" t="n">
        <f aca="false">G232</f>
        <v>24367.9506803807</v>
      </c>
      <c r="F233" s="6" t="n">
        <f aca="false">MIN(E233,ROUND(03_Initial_Recognition!$I$13/H233,2))</f>
        <v>1282.52</v>
      </c>
      <c r="G233" s="6" t="n">
        <f aca="false">MAX(0,E233-F233)</f>
        <v>23085.4306803807</v>
      </c>
      <c r="H233" s="1" t="n">
        <f aca="false">DATEDIF(01_Lease_Master!$D$13,01_Lease_Master!$AJ$13,"m")+IF(DAY(01_Lease_Master!$AJ$13)&gt;=DAY(01_Lease_Master!$D$13),1,0)</f>
        <v>60</v>
      </c>
      <c r="I233" s="1" t="s">
        <v>153</v>
      </c>
      <c r="J233" s="1" t="str">
        <f aca="false">IF(ABS(G233-23085.43)&lt;=0.01,"PASS","CHECK")</f>
        <v>PASS</v>
      </c>
    </row>
    <row r="234" customFormat="false" ht="15" hidden="false" customHeight="true" outlineLevel="0" collapsed="false">
      <c r="A234" s="1" t="s">
        <v>97</v>
      </c>
      <c r="B234" s="1" t="n">
        <v>0</v>
      </c>
      <c r="C234" s="1" t="n">
        <v>43</v>
      </c>
      <c r="D234" s="7" t="n">
        <v>46204</v>
      </c>
      <c r="E234" s="6" t="n">
        <f aca="false">G233</f>
        <v>23085.4306803807</v>
      </c>
      <c r="F234" s="6" t="n">
        <f aca="false">MIN(E234,ROUND(03_Initial_Recognition!$I$13/H234,2))</f>
        <v>1282.52</v>
      </c>
      <c r="G234" s="6" t="n">
        <f aca="false">MAX(0,E234-F234)</f>
        <v>21802.9106803807</v>
      </c>
      <c r="H234" s="1" t="n">
        <f aca="false">DATEDIF(01_Lease_Master!$D$13,01_Lease_Master!$AJ$13,"m")+IF(DAY(01_Lease_Master!$AJ$13)&gt;=DAY(01_Lease_Master!$D$13),1,0)</f>
        <v>60</v>
      </c>
      <c r="I234" s="1" t="s">
        <v>153</v>
      </c>
      <c r="J234" s="1" t="str">
        <f aca="false">IF(ABS(G234-21802.91)&lt;=0.01,"PASS","CHECK")</f>
        <v>PASS</v>
      </c>
    </row>
    <row r="235" customFormat="false" ht="15" hidden="false" customHeight="true" outlineLevel="0" collapsed="false">
      <c r="A235" s="1" t="s">
        <v>97</v>
      </c>
      <c r="B235" s="1" t="n">
        <v>0</v>
      </c>
      <c r="C235" s="1" t="n">
        <v>44</v>
      </c>
      <c r="D235" s="7" t="n">
        <v>46235</v>
      </c>
      <c r="E235" s="6" t="n">
        <f aca="false">G234</f>
        <v>21802.9106803807</v>
      </c>
      <c r="F235" s="6" t="n">
        <f aca="false">MIN(E235,ROUND(03_Initial_Recognition!$I$13/H235,2))</f>
        <v>1282.52</v>
      </c>
      <c r="G235" s="6" t="n">
        <f aca="false">MAX(0,E235-F235)</f>
        <v>20520.3906803807</v>
      </c>
      <c r="H235" s="1" t="n">
        <f aca="false">DATEDIF(01_Lease_Master!$D$13,01_Lease_Master!$AJ$13,"m")+IF(DAY(01_Lease_Master!$AJ$13)&gt;=DAY(01_Lease_Master!$D$13),1,0)</f>
        <v>60</v>
      </c>
      <c r="I235" s="1" t="s">
        <v>153</v>
      </c>
      <c r="J235" s="1" t="str">
        <f aca="false">IF(ABS(G235-20520.39)&lt;=0.01,"PASS","CHECK")</f>
        <v>PASS</v>
      </c>
    </row>
    <row r="236" customFormat="false" ht="15" hidden="false" customHeight="true" outlineLevel="0" collapsed="false">
      <c r="A236" s="1" t="s">
        <v>97</v>
      </c>
      <c r="B236" s="1" t="n">
        <v>0</v>
      </c>
      <c r="C236" s="1" t="n">
        <v>45</v>
      </c>
      <c r="D236" s="7" t="n">
        <v>46266</v>
      </c>
      <c r="E236" s="6" t="n">
        <f aca="false">G235</f>
        <v>20520.3906803807</v>
      </c>
      <c r="F236" s="6" t="n">
        <f aca="false">MIN(E236,ROUND(03_Initial_Recognition!$I$13/H236,2))</f>
        <v>1282.52</v>
      </c>
      <c r="G236" s="6" t="n">
        <f aca="false">MAX(0,E236-F236)</f>
        <v>19237.8706803807</v>
      </c>
      <c r="H236" s="1" t="n">
        <f aca="false">DATEDIF(01_Lease_Master!$D$13,01_Lease_Master!$AJ$13,"m")+IF(DAY(01_Lease_Master!$AJ$13)&gt;=DAY(01_Lease_Master!$D$13),1,0)</f>
        <v>60</v>
      </c>
      <c r="I236" s="1" t="s">
        <v>153</v>
      </c>
      <c r="J236" s="1" t="str">
        <f aca="false">IF(ABS(G236-19237.87)&lt;=0.01,"PASS","CHECK")</f>
        <v>PASS</v>
      </c>
    </row>
    <row r="237" customFormat="false" ht="15" hidden="false" customHeight="true" outlineLevel="0" collapsed="false">
      <c r="A237" s="1" t="s">
        <v>97</v>
      </c>
      <c r="B237" s="1" t="s">
        <v>145</v>
      </c>
      <c r="C237" s="1" t="s">
        <v>145</v>
      </c>
      <c r="D237" s="7" t="n">
        <v>46271</v>
      </c>
      <c r="G237" s="6" t="n">
        <f aca="false">IFERROR(LOOKUP(2,1/(A$6:A236=A237),G$6:G236),SUMIF(03_Initial_Recognition!A:A,A237,03_Initial_Recognition!I:I))</f>
        <v>19237.8706803807</v>
      </c>
      <c r="J237" s="1" t="str">
        <f aca="false">IF(ABS(G237-19237.87)&lt;=0.01,"PASS","CHECK")</f>
        <v>PASS</v>
      </c>
    </row>
    <row r="238" customFormat="false" ht="15" hidden="false" customHeight="true" outlineLevel="0" collapsed="false">
      <c r="A238" s="1" t="s">
        <v>101</v>
      </c>
      <c r="B238" s="1" t="n">
        <v>0</v>
      </c>
      <c r="C238" s="1" t="n">
        <v>1</v>
      </c>
      <c r="D238" s="7" t="n">
        <v>45809</v>
      </c>
      <c r="E238" s="6" t="n">
        <f aca="false">03_Initial_Recognition!$I$14</f>
        <v>4871865.13010437</v>
      </c>
      <c r="F238" s="6" t="n">
        <f aca="false">MIN(E238,ROUND(03_Initial_Recognition!$I$14/H238,2))</f>
        <v>101497.19</v>
      </c>
      <c r="G238" s="6" t="n">
        <f aca="false">MAX(0,E238-F238)</f>
        <v>4770367.94010436</v>
      </c>
      <c r="H238" s="1" t="n">
        <f aca="false">DATEDIF(01_Lease_Master!$D$14,01_Lease_Master!$AJ$14,"m")+IF(DAY(01_Lease_Master!$AJ$14)&gt;=DAY(01_Lease_Master!$D$14),1,0)</f>
        <v>48</v>
      </c>
      <c r="I238" s="1" t="s">
        <v>153</v>
      </c>
      <c r="J238" s="1" t="str">
        <f aca="false">IF(ABS(G238-4770367.94)&lt;=0.01,"PASS","CHECK")</f>
        <v>PASS</v>
      </c>
    </row>
    <row r="239" customFormat="false" ht="15" hidden="false" customHeight="true" outlineLevel="0" collapsed="false">
      <c r="A239" s="1" t="s">
        <v>101</v>
      </c>
      <c r="B239" s="1" t="n">
        <v>0</v>
      </c>
      <c r="C239" s="1" t="n">
        <v>2</v>
      </c>
      <c r="D239" s="7" t="n">
        <v>45839</v>
      </c>
      <c r="E239" s="6" t="n">
        <f aca="false">G238</f>
        <v>4770367.94010436</v>
      </c>
      <c r="F239" s="6" t="n">
        <f aca="false">MIN(E239,ROUND(03_Initial_Recognition!$I$14/H239,2))</f>
        <v>101497.19</v>
      </c>
      <c r="G239" s="6" t="n">
        <f aca="false">MAX(0,E239-F239)</f>
        <v>4668870.75010436</v>
      </c>
      <c r="H239" s="1" t="n">
        <f aca="false">DATEDIF(01_Lease_Master!$D$14,01_Lease_Master!$AJ$14,"m")+IF(DAY(01_Lease_Master!$AJ$14)&gt;=DAY(01_Lease_Master!$D$14),1,0)</f>
        <v>48</v>
      </c>
      <c r="I239" s="1" t="s">
        <v>153</v>
      </c>
      <c r="J239" s="1" t="str">
        <f aca="false">IF(ABS(G239-4668870.75)&lt;=0.01,"PASS","CHECK")</f>
        <v>PASS</v>
      </c>
    </row>
    <row r="240" customFormat="false" ht="15" hidden="false" customHeight="true" outlineLevel="0" collapsed="false">
      <c r="A240" s="1" t="s">
        <v>101</v>
      </c>
      <c r="B240" s="1" t="n">
        <v>0</v>
      </c>
      <c r="C240" s="1" t="n">
        <v>3</v>
      </c>
      <c r="D240" s="7" t="n">
        <v>45870</v>
      </c>
      <c r="E240" s="6" t="n">
        <f aca="false">G239</f>
        <v>4668870.75010436</v>
      </c>
      <c r="F240" s="6" t="n">
        <f aca="false">MIN(E240,ROUND(03_Initial_Recognition!$I$14/H240,2))</f>
        <v>101497.19</v>
      </c>
      <c r="G240" s="6" t="n">
        <f aca="false">MAX(0,E240-F240)</f>
        <v>4567373.56010436</v>
      </c>
      <c r="H240" s="1" t="n">
        <f aca="false">DATEDIF(01_Lease_Master!$D$14,01_Lease_Master!$AJ$14,"m")+IF(DAY(01_Lease_Master!$AJ$14)&gt;=DAY(01_Lease_Master!$D$14),1,0)</f>
        <v>48</v>
      </c>
      <c r="I240" s="1" t="s">
        <v>153</v>
      </c>
      <c r="J240" s="1" t="str">
        <f aca="false">IF(ABS(G240-4567373.56)&lt;=0.01,"PASS","CHECK")</f>
        <v>PASS</v>
      </c>
    </row>
    <row r="241" customFormat="false" ht="15" hidden="false" customHeight="true" outlineLevel="0" collapsed="false">
      <c r="A241" s="1" t="s">
        <v>101</v>
      </c>
      <c r="B241" s="1" t="n">
        <v>0</v>
      </c>
      <c r="C241" s="1" t="n">
        <v>4</v>
      </c>
      <c r="D241" s="7" t="n">
        <v>45901</v>
      </c>
      <c r="E241" s="6" t="n">
        <f aca="false">G240</f>
        <v>4567373.56010436</v>
      </c>
      <c r="F241" s="6" t="n">
        <f aca="false">MIN(E241,ROUND(03_Initial_Recognition!$I$14/H241,2))</f>
        <v>101497.19</v>
      </c>
      <c r="G241" s="6" t="n">
        <f aca="false">MAX(0,E241-F241)</f>
        <v>4465876.37010436</v>
      </c>
      <c r="H241" s="1" t="n">
        <f aca="false">DATEDIF(01_Lease_Master!$D$14,01_Lease_Master!$AJ$14,"m")+IF(DAY(01_Lease_Master!$AJ$14)&gt;=DAY(01_Lease_Master!$D$14),1,0)</f>
        <v>48</v>
      </c>
      <c r="I241" s="1" t="s">
        <v>153</v>
      </c>
      <c r="J241" s="1" t="str">
        <f aca="false">IF(ABS(G241-4465876.37)&lt;=0.01,"PASS","CHECK")</f>
        <v>PASS</v>
      </c>
    </row>
    <row r="242" customFormat="false" ht="15" hidden="false" customHeight="true" outlineLevel="0" collapsed="false">
      <c r="A242" s="1" t="s">
        <v>101</v>
      </c>
      <c r="B242" s="1" t="n">
        <v>0</v>
      </c>
      <c r="C242" s="1" t="n">
        <v>5</v>
      </c>
      <c r="D242" s="7" t="n">
        <v>45931</v>
      </c>
      <c r="E242" s="6" t="n">
        <f aca="false">G241</f>
        <v>4465876.37010436</v>
      </c>
      <c r="F242" s="6" t="n">
        <f aca="false">MIN(E242,ROUND(03_Initial_Recognition!$I$14/H242,2))</f>
        <v>101497.19</v>
      </c>
      <c r="G242" s="6" t="n">
        <f aca="false">MAX(0,E242-F242)</f>
        <v>4364379.18010436</v>
      </c>
      <c r="H242" s="1" t="n">
        <f aca="false">DATEDIF(01_Lease_Master!$D$14,01_Lease_Master!$AJ$14,"m")+IF(DAY(01_Lease_Master!$AJ$14)&gt;=DAY(01_Lease_Master!$D$14),1,0)</f>
        <v>48</v>
      </c>
      <c r="I242" s="1" t="s">
        <v>153</v>
      </c>
      <c r="J242" s="1" t="str">
        <f aca="false">IF(ABS(G242-4364379.18)&lt;=0.01,"PASS","CHECK")</f>
        <v>PASS</v>
      </c>
    </row>
    <row r="243" customFormat="false" ht="15" hidden="false" customHeight="true" outlineLevel="0" collapsed="false">
      <c r="A243" s="1" t="s">
        <v>101</v>
      </c>
      <c r="B243" s="1" t="n">
        <v>0</v>
      </c>
      <c r="C243" s="1" t="n">
        <v>6</v>
      </c>
      <c r="D243" s="7" t="n">
        <v>45962</v>
      </c>
      <c r="E243" s="6" t="n">
        <f aca="false">G242</f>
        <v>4364379.18010436</v>
      </c>
      <c r="F243" s="6" t="n">
        <f aca="false">MIN(E243,ROUND(03_Initial_Recognition!$I$14/H243,2))</f>
        <v>101497.19</v>
      </c>
      <c r="G243" s="6" t="n">
        <f aca="false">MAX(0,E243-F243)</f>
        <v>4262881.99010436</v>
      </c>
      <c r="H243" s="1" t="n">
        <f aca="false">DATEDIF(01_Lease_Master!$D$14,01_Lease_Master!$AJ$14,"m")+IF(DAY(01_Lease_Master!$AJ$14)&gt;=DAY(01_Lease_Master!$D$14),1,0)</f>
        <v>48</v>
      </c>
      <c r="I243" s="1" t="s">
        <v>153</v>
      </c>
      <c r="J243" s="1" t="str">
        <f aca="false">IF(ABS(G243-4262881.99)&lt;=0.01,"PASS","CHECK")</f>
        <v>PASS</v>
      </c>
    </row>
    <row r="244" customFormat="false" ht="15" hidden="false" customHeight="true" outlineLevel="0" collapsed="false">
      <c r="A244" s="1" t="s">
        <v>101</v>
      </c>
      <c r="B244" s="1" t="n">
        <v>0</v>
      </c>
      <c r="C244" s="1" t="n">
        <v>7</v>
      </c>
      <c r="D244" s="7" t="n">
        <v>45992</v>
      </c>
      <c r="E244" s="6" t="n">
        <f aca="false">G243</f>
        <v>4262881.99010436</v>
      </c>
      <c r="F244" s="6" t="n">
        <f aca="false">MIN(E244,ROUND(03_Initial_Recognition!$I$14/H244,2))</f>
        <v>101497.19</v>
      </c>
      <c r="G244" s="6" t="n">
        <f aca="false">MAX(0,E244-F244)</f>
        <v>4161384.80010436</v>
      </c>
      <c r="H244" s="1" t="n">
        <f aca="false">DATEDIF(01_Lease_Master!$D$14,01_Lease_Master!$AJ$14,"m")+IF(DAY(01_Lease_Master!$AJ$14)&gt;=DAY(01_Lease_Master!$D$14),1,0)</f>
        <v>48</v>
      </c>
      <c r="I244" s="1" t="s">
        <v>153</v>
      </c>
      <c r="J244" s="1" t="str">
        <f aca="false">IF(ABS(G244-4161384.8)&lt;=0.01,"PASS","CHECK")</f>
        <v>PASS</v>
      </c>
    </row>
    <row r="245" customFormat="false" ht="15" hidden="false" customHeight="true" outlineLevel="0" collapsed="false">
      <c r="A245" s="1" t="s">
        <v>101</v>
      </c>
      <c r="B245" s="1" t="n">
        <v>0</v>
      </c>
      <c r="C245" s="1" t="n">
        <v>8</v>
      </c>
      <c r="D245" s="7" t="n">
        <v>46023</v>
      </c>
      <c r="E245" s="6" t="n">
        <f aca="false">G244</f>
        <v>4161384.80010436</v>
      </c>
      <c r="F245" s="6" t="n">
        <f aca="false">MIN(E245,ROUND(03_Initial_Recognition!$I$14/H245,2))</f>
        <v>101497.19</v>
      </c>
      <c r="G245" s="6" t="n">
        <f aca="false">MAX(0,E245-F245)</f>
        <v>4059887.61010436</v>
      </c>
      <c r="H245" s="1" t="n">
        <f aca="false">DATEDIF(01_Lease_Master!$D$14,01_Lease_Master!$AJ$14,"m")+IF(DAY(01_Lease_Master!$AJ$14)&gt;=DAY(01_Lease_Master!$D$14),1,0)</f>
        <v>48</v>
      </c>
      <c r="I245" s="1" t="s">
        <v>153</v>
      </c>
      <c r="J245" s="1" t="str">
        <f aca="false">IF(ABS(G245-4059887.61)&lt;=0.01,"PASS","CHECK")</f>
        <v>PASS</v>
      </c>
    </row>
    <row r="246" customFormat="false" ht="15" hidden="false" customHeight="true" outlineLevel="0" collapsed="false">
      <c r="A246" s="1" t="s">
        <v>101</v>
      </c>
      <c r="B246" s="1" t="n">
        <v>0</v>
      </c>
      <c r="C246" s="1" t="n">
        <v>9</v>
      </c>
      <c r="D246" s="7" t="n">
        <v>46054</v>
      </c>
      <c r="E246" s="6" t="n">
        <f aca="false">G245</f>
        <v>4059887.61010436</v>
      </c>
      <c r="F246" s="6" t="n">
        <f aca="false">MIN(E246,ROUND(03_Initial_Recognition!$I$14/H246,2))</f>
        <v>101497.19</v>
      </c>
      <c r="G246" s="6" t="n">
        <f aca="false">MAX(0,E246-F246)</f>
        <v>3958390.42010436</v>
      </c>
      <c r="H246" s="1" t="n">
        <f aca="false">DATEDIF(01_Lease_Master!$D$14,01_Lease_Master!$AJ$14,"m")+IF(DAY(01_Lease_Master!$AJ$14)&gt;=DAY(01_Lease_Master!$D$14),1,0)</f>
        <v>48</v>
      </c>
      <c r="I246" s="1" t="s">
        <v>153</v>
      </c>
      <c r="J246" s="1" t="str">
        <f aca="false">IF(ABS(G246-3958390.42)&lt;=0.01,"PASS","CHECK")</f>
        <v>PASS</v>
      </c>
    </row>
    <row r="247" customFormat="false" ht="15" hidden="false" customHeight="true" outlineLevel="0" collapsed="false">
      <c r="A247" s="1" t="s">
        <v>101</v>
      </c>
      <c r="B247" s="1" t="n">
        <v>0</v>
      </c>
      <c r="C247" s="1" t="n">
        <v>10</v>
      </c>
      <c r="D247" s="7" t="n">
        <v>46082</v>
      </c>
      <c r="E247" s="6" t="n">
        <f aca="false">G246</f>
        <v>3958390.42010436</v>
      </c>
      <c r="F247" s="6" t="n">
        <f aca="false">MIN(E247,ROUND(03_Initial_Recognition!$I$14/H247,2))</f>
        <v>101497.19</v>
      </c>
      <c r="G247" s="6" t="n">
        <f aca="false">MAX(0,E247-F247)</f>
        <v>3856893.23010436</v>
      </c>
      <c r="H247" s="1" t="n">
        <f aca="false">DATEDIF(01_Lease_Master!$D$14,01_Lease_Master!$AJ$14,"m")+IF(DAY(01_Lease_Master!$AJ$14)&gt;=DAY(01_Lease_Master!$D$14),1,0)</f>
        <v>48</v>
      </c>
      <c r="I247" s="1" t="s">
        <v>153</v>
      </c>
      <c r="J247" s="1" t="str">
        <f aca="false">IF(ABS(G247-3856893.23)&lt;=0.01,"PASS","CHECK")</f>
        <v>PASS</v>
      </c>
    </row>
    <row r="248" customFormat="false" ht="15" hidden="false" customHeight="true" outlineLevel="0" collapsed="false">
      <c r="A248" s="1" t="s">
        <v>101</v>
      </c>
      <c r="B248" s="1" t="n">
        <v>0</v>
      </c>
      <c r="C248" s="1" t="n">
        <v>11</v>
      </c>
      <c r="D248" s="7" t="n">
        <v>46113</v>
      </c>
      <c r="E248" s="6" t="n">
        <f aca="false">G247</f>
        <v>3856893.23010436</v>
      </c>
      <c r="F248" s="6" t="n">
        <f aca="false">MIN(E248,ROUND(03_Initial_Recognition!$I$14/H248,2))</f>
        <v>101497.19</v>
      </c>
      <c r="G248" s="6" t="n">
        <f aca="false">MAX(0,E248-F248)</f>
        <v>3755396.04010436</v>
      </c>
      <c r="H248" s="1" t="n">
        <f aca="false">DATEDIF(01_Lease_Master!$D$14,01_Lease_Master!$AJ$14,"m")+IF(DAY(01_Lease_Master!$AJ$14)&gt;=DAY(01_Lease_Master!$D$14),1,0)</f>
        <v>48</v>
      </c>
      <c r="I248" s="1" t="s">
        <v>153</v>
      </c>
      <c r="J248" s="1" t="str">
        <f aca="false">IF(ABS(G248-3755396.04)&lt;=0.01,"PASS","CHECK")</f>
        <v>PASS</v>
      </c>
    </row>
    <row r="249" customFormat="false" ht="15" hidden="false" customHeight="true" outlineLevel="0" collapsed="false">
      <c r="A249" s="1" t="s">
        <v>101</v>
      </c>
      <c r="B249" s="1" t="n">
        <v>0</v>
      </c>
      <c r="C249" s="1" t="n">
        <v>12</v>
      </c>
      <c r="D249" s="7" t="n">
        <v>46143</v>
      </c>
      <c r="E249" s="6" t="n">
        <f aca="false">G248</f>
        <v>3755396.04010436</v>
      </c>
      <c r="F249" s="6" t="n">
        <f aca="false">MIN(E249,ROUND(03_Initial_Recognition!$I$14/H249,2))</f>
        <v>101497.19</v>
      </c>
      <c r="G249" s="6" t="n">
        <f aca="false">MAX(0,E249-F249)</f>
        <v>3653898.85010436</v>
      </c>
      <c r="H249" s="1" t="n">
        <f aca="false">DATEDIF(01_Lease_Master!$D$14,01_Lease_Master!$AJ$14,"m")+IF(DAY(01_Lease_Master!$AJ$14)&gt;=DAY(01_Lease_Master!$D$14),1,0)</f>
        <v>48</v>
      </c>
      <c r="I249" s="1" t="s">
        <v>153</v>
      </c>
      <c r="J249" s="1" t="str">
        <f aca="false">IF(ABS(G249-3653898.85)&lt;=0.01,"PASS","CHECK")</f>
        <v>PASS</v>
      </c>
    </row>
    <row r="250" customFormat="false" ht="15" hidden="false" customHeight="true" outlineLevel="0" collapsed="false">
      <c r="A250" s="1" t="s">
        <v>101</v>
      </c>
      <c r="B250" s="1" t="n">
        <v>0</v>
      </c>
      <c r="C250" s="1" t="n">
        <v>13</v>
      </c>
      <c r="D250" s="7" t="n">
        <v>46174</v>
      </c>
      <c r="E250" s="6" t="n">
        <f aca="false">G249</f>
        <v>3653898.85010436</v>
      </c>
      <c r="F250" s="6" t="n">
        <f aca="false">MIN(E250,ROUND(03_Initial_Recognition!$I$14/H250,2))</f>
        <v>101497.19</v>
      </c>
      <c r="G250" s="6" t="n">
        <f aca="false">MAX(0,E250-F250)</f>
        <v>3552401.66010436</v>
      </c>
      <c r="H250" s="1" t="n">
        <f aca="false">DATEDIF(01_Lease_Master!$D$14,01_Lease_Master!$AJ$14,"m")+IF(DAY(01_Lease_Master!$AJ$14)&gt;=DAY(01_Lease_Master!$D$14),1,0)</f>
        <v>48</v>
      </c>
      <c r="I250" s="1" t="s">
        <v>153</v>
      </c>
      <c r="J250" s="1" t="str">
        <f aca="false">IF(ABS(G250-3552401.66)&lt;=0.01,"PASS","CHECK")</f>
        <v>PASS</v>
      </c>
    </row>
    <row r="251" customFormat="false" ht="15" hidden="false" customHeight="true" outlineLevel="0" collapsed="false">
      <c r="A251" s="1" t="s">
        <v>101</v>
      </c>
      <c r="B251" s="1" t="n">
        <v>0</v>
      </c>
      <c r="C251" s="1" t="n">
        <v>14</v>
      </c>
      <c r="D251" s="7" t="n">
        <v>46204</v>
      </c>
      <c r="E251" s="6" t="n">
        <f aca="false">G250</f>
        <v>3552401.66010436</v>
      </c>
      <c r="F251" s="6" t="n">
        <f aca="false">MIN(E251,ROUND(03_Initial_Recognition!$I$14/H251,2))</f>
        <v>101497.19</v>
      </c>
      <c r="G251" s="6" t="n">
        <f aca="false">MAX(0,E251-F251)</f>
        <v>3450904.47010436</v>
      </c>
      <c r="H251" s="1" t="n">
        <f aca="false">DATEDIF(01_Lease_Master!$D$14,01_Lease_Master!$AJ$14,"m")+IF(DAY(01_Lease_Master!$AJ$14)&gt;=DAY(01_Lease_Master!$D$14),1,0)</f>
        <v>48</v>
      </c>
      <c r="I251" s="1" t="s">
        <v>153</v>
      </c>
      <c r="J251" s="1" t="str">
        <f aca="false">IF(ABS(G251-3450904.47)&lt;=0.01,"PASS","CHECK")</f>
        <v>PASS</v>
      </c>
    </row>
    <row r="252" customFormat="false" ht="15" hidden="false" customHeight="true" outlineLevel="0" collapsed="false">
      <c r="A252" s="1" t="s">
        <v>101</v>
      </c>
      <c r="B252" s="1" t="n">
        <v>0</v>
      </c>
      <c r="C252" s="1" t="n">
        <v>15</v>
      </c>
      <c r="D252" s="7" t="n">
        <v>46235</v>
      </c>
      <c r="E252" s="6" t="n">
        <f aca="false">G251</f>
        <v>3450904.47010436</v>
      </c>
      <c r="F252" s="6" t="n">
        <f aca="false">MIN(E252,ROUND(03_Initial_Recognition!$I$14/H252,2))</f>
        <v>101497.19</v>
      </c>
      <c r="G252" s="6" t="n">
        <f aca="false">MAX(0,E252-F252)</f>
        <v>3349407.28010436</v>
      </c>
      <c r="H252" s="1" t="n">
        <f aca="false">DATEDIF(01_Lease_Master!$D$14,01_Lease_Master!$AJ$14,"m")+IF(DAY(01_Lease_Master!$AJ$14)&gt;=DAY(01_Lease_Master!$D$14),1,0)</f>
        <v>48</v>
      </c>
      <c r="I252" s="1" t="s">
        <v>153</v>
      </c>
      <c r="J252" s="1" t="str">
        <f aca="false">IF(ABS(G252-3349407.28)&lt;=0.01,"PASS","CHECK")</f>
        <v>PASS</v>
      </c>
    </row>
    <row r="253" customFormat="false" ht="15" hidden="false" customHeight="true" outlineLevel="0" collapsed="false">
      <c r="A253" s="1" t="s">
        <v>101</v>
      </c>
      <c r="B253" s="1" t="n">
        <v>0</v>
      </c>
      <c r="C253" s="1" t="n">
        <v>16</v>
      </c>
      <c r="D253" s="7" t="n">
        <v>46266</v>
      </c>
      <c r="E253" s="6" t="n">
        <f aca="false">G252</f>
        <v>3349407.28010436</v>
      </c>
      <c r="F253" s="6" t="n">
        <f aca="false">MIN(E253,ROUND(03_Initial_Recognition!$I$14/H253,2))</f>
        <v>101497.19</v>
      </c>
      <c r="G253" s="6" t="n">
        <f aca="false">MAX(0,E253-F253)</f>
        <v>3247910.09010436</v>
      </c>
      <c r="H253" s="1" t="n">
        <f aca="false">DATEDIF(01_Lease_Master!$D$14,01_Lease_Master!$AJ$14,"m")+IF(DAY(01_Lease_Master!$AJ$14)&gt;=DAY(01_Lease_Master!$D$14),1,0)</f>
        <v>48</v>
      </c>
      <c r="I253" s="1" t="s">
        <v>153</v>
      </c>
      <c r="J253" s="1" t="str">
        <f aca="false">IF(ABS(G253-3247910.09)&lt;=0.01,"PASS","CHECK")</f>
        <v>PASS</v>
      </c>
    </row>
    <row r="254" customFormat="false" ht="15" hidden="false" customHeight="true" outlineLevel="0" collapsed="false">
      <c r="A254" s="1" t="s">
        <v>101</v>
      </c>
      <c r="B254" s="1" t="s">
        <v>145</v>
      </c>
      <c r="C254" s="1" t="s">
        <v>145</v>
      </c>
      <c r="D254" s="7" t="n">
        <v>46271</v>
      </c>
      <c r="G254" s="6" t="n">
        <f aca="false">IFERROR(LOOKUP(2,1/(A$6:A253=A254),G$6:G253),SUMIF(03_Initial_Recognition!A:A,A254,03_Initial_Recognition!I:I))</f>
        <v>3247910.09010436</v>
      </c>
      <c r="J254" s="1" t="str">
        <f aca="false">IF(ABS(G254-3247910.09)&lt;=0.01,"PASS","CHECK")</f>
        <v>PASS</v>
      </c>
    </row>
    <row r="255" customFormat="false" ht="15" hidden="false" customHeight="true" outlineLevel="0" collapsed="false">
      <c r="A255" s="1" t="s">
        <v>104</v>
      </c>
      <c r="B255" s="1" t="n">
        <v>0</v>
      </c>
      <c r="C255" s="1" t="n">
        <v>1</v>
      </c>
      <c r="D255" s="7" t="n">
        <v>45383</v>
      </c>
      <c r="E255" s="6" t="n">
        <f aca="false">03_Initial_Recognition!$I$15</f>
        <v>9156851.40329276</v>
      </c>
      <c r="F255" s="6" t="n">
        <f aca="false">MIN(E255,ROUND(03_Initial_Recognition!$I$15/H255,2))</f>
        <v>152614.19</v>
      </c>
      <c r="G255" s="6" t="n">
        <f aca="false">MAX(0,E255-F255)</f>
        <v>9004237.21329276</v>
      </c>
      <c r="H255" s="1" t="n">
        <f aca="false">DATEDIF(01_Lease_Master!$D$15,01_Lease_Master!$AJ$15,"m")+IF(DAY(01_Lease_Master!$AJ$15)&gt;=DAY(01_Lease_Master!$D$15),1,0)</f>
        <v>60</v>
      </c>
      <c r="I255" s="1" t="s">
        <v>153</v>
      </c>
      <c r="J255" s="1" t="str">
        <f aca="false">IF(ABS(G255-9004237.23)&lt;=0.01,"PASS","CHECK")</f>
        <v>CHECK</v>
      </c>
    </row>
    <row r="256" customFormat="false" ht="15" hidden="false" customHeight="true" outlineLevel="0" collapsed="false">
      <c r="A256" s="1" t="s">
        <v>104</v>
      </c>
      <c r="B256" s="1" t="n">
        <v>0</v>
      </c>
      <c r="C256" s="1" t="n">
        <v>2</v>
      </c>
      <c r="D256" s="7" t="n">
        <v>45413</v>
      </c>
      <c r="E256" s="6" t="n">
        <f aca="false">G255</f>
        <v>9004237.21329276</v>
      </c>
      <c r="F256" s="6" t="n">
        <f aca="false">MIN(E256,ROUND(03_Initial_Recognition!$I$15/H256,2))</f>
        <v>152614.19</v>
      </c>
      <c r="G256" s="6" t="n">
        <f aca="false">MAX(0,E256-F256)</f>
        <v>8851623.02329276</v>
      </c>
      <c r="H256" s="1" t="n">
        <f aca="false">DATEDIF(01_Lease_Master!$D$15,01_Lease_Master!$AJ$15,"m")+IF(DAY(01_Lease_Master!$AJ$15)&gt;=DAY(01_Lease_Master!$D$15),1,0)</f>
        <v>60</v>
      </c>
      <c r="I256" s="1" t="s">
        <v>153</v>
      </c>
      <c r="J256" s="1" t="str">
        <f aca="false">IF(ABS(G256-8851623.04)&lt;=0.01,"PASS","CHECK")</f>
        <v>CHECK</v>
      </c>
    </row>
    <row r="257" customFormat="false" ht="15" hidden="false" customHeight="true" outlineLevel="0" collapsed="false">
      <c r="A257" s="1" t="s">
        <v>104</v>
      </c>
      <c r="B257" s="1" t="n">
        <v>0</v>
      </c>
      <c r="C257" s="1" t="n">
        <v>3</v>
      </c>
      <c r="D257" s="7" t="n">
        <v>45444</v>
      </c>
      <c r="E257" s="6" t="n">
        <f aca="false">G256</f>
        <v>8851623.02329276</v>
      </c>
      <c r="F257" s="6" t="n">
        <f aca="false">MIN(E257,ROUND(03_Initial_Recognition!$I$15/H257,2))</f>
        <v>152614.19</v>
      </c>
      <c r="G257" s="6" t="n">
        <f aca="false">MAX(0,E257-F257)</f>
        <v>8699008.83329276</v>
      </c>
      <c r="H257" s="1" t="n">
        <f aca="false">DATEDIF(01_Lease_Master!$D$15,01_Lease_Master!$AJ$15,"m")+IF(DAY(01_Lease_Master!$AJ$15)&gt;=DAY(01_Lease_Master!$D$15),1,0)</f>
        <v>60</v>
      </c>
      <c r="I257" s="1" t="s">
        <v>153</v>
      </c>
      <c r="J257" s="1" t="str">
        <f aca="false">IF(ABS(G257-8699008.85)&lt;=0.01,"PASS","CHECK")</f>
        <v>CHECK</v>
      </c>
    </row>
    <row r="258" customFormat="false" ht="15" hidden="false" customHeight="true" outlineLevel="0" collapsed="false">
      <c r="A258" s="1" t="s">
        <v>104</v>
      </c>
      <c r="B258" s="1" t="n">
        <v>0</v>
      </c>
      <c r="C258" s="1" t="n">
        <v>4</v>
      </c>
      <c r="D258" s="7" t="n">
        <v>45474</v>
      </c>
      <c r="E258" s="6" t="n">
        <f aca="false">G257</f>
        <v>8699008.83329276</v>
      </c>
      <c r="F258" s="6" t="n">
        <f aca="false">MIN(E258,ROUND(03_Initial_Recognition!$I$15/H258,2))</f>
        <v>152614.19</v>
      </c>
      <c r="G258" s="6" t="n">
        <f aca="false">MAX(0,E258-F258)</f>
        <v>8546394.64329276</v>
      </c>
      <c r="H258" s="1" t="n">
        <f aca="false">DATEDIF(01_Lease_Master!$D$15,01_Lease_Master!$AJ$15,"m")+IF(DAY(01_Lease_Master!$AJ$15)&gt;=DAY(01_Lease_Master!$D$15),1,0)</f>
        <v>60</v>
      </c>
      <c r="I258" s="1" t="s">
        <v>153</v>
      </c>
      <c r="J258" s="1" t="str">
        <f aca="false">IF(ABS(G258-8546394.66)&lt;=0.01,"PASS","CHECK")</f>
        <v>CHECK</v>
      </c>
    </row>
    <row r="259" customFormat="false" ht="15" hidden="false" customHeight="true" outlineLevel="0" collapsed="false">
      <c r="A259" s="1" t="s">
        <v>104</v>
      </c>
      <c r="B259" s="1" t="n">
        <v>0</v>
      </c>
      <c r="C259" s="1" t="n">
        <v>5</v>
      </c>
      <c r="D259" s="7" t="n">
        <v>45505</v>
      </c>
      <c r="E259" s="6" t="n">
        <f aca="false">G258</f>
        <v>8546394.64329276</v>
      </c>
      <c r="F259" s="6" t="n">
        <f aca="false">MIN(E259,ROUND(03_Initial_Recognition!$I$15/H259,2))</f>
        <v>152614.19</v>
      </c>
      <c r="G259" s="6" t="n">
        <f aca="false">MAX(0,E259-F259)</f>
        <v>8393780.45329276</v>
      </c>
      <c r="H259" s="1" t="n">
        <f aca="false">DATEDIF(01_Lease_Master!$D$15,01_Lease_Master!$AJ$15,"m")+IF(DAY(01_Lease_Master!$AJ$15)&gt;=DAY(01_Lease_Master!$D$15),1,0)</f>
        <v>60</v>
      </c>
      <c r="I259" s="1" t="s">
        <v>153</v>
      </c>
      <c r="J259" s="1" t="str">
        <f aca="false">IF(ABS(G259-8393780.47)&lt;=0.01,"PASS","CHECK")</f>
        <v>CHECK</v>
      </c>
    </row>
    <row r="260" customFormat="false" ht="15" hidden="false" customHeight="true" outlineLevel="0" collapsed="false">
      <c r="A260" s="1" t="s">
        <v>104</v>
      </c>
      <c r="B260" s="1" t="n">
        <v>0</v>
      </c>
      <c r="C260" s="1" t="n">
        <v>6</v>
      </c>
      <c r="D260" s="7" t="n">
        <v>45536</v>
      </c>
      <c r="E260" s="6" t="n">
        <f aca="false">G259</f>
        <v>8393780.45329276</v>
      </c>
      <c r="F260" s="6" t="n">
        <f aca="false">MIN(E260,ROUND(03_Initial_Recognition!$I$15/H260,2))</f>
        <v>152614.19</v>
      </c>
      <c r="G260" s="6" t="n">
        <f aca="false">MAX(0,E260-F260)</f>
        <v>8241166.26329276</v>
      </c>
      <c r="H260" s="1" t="n">
        <f aca="false">DATEDIF(01_Lease_Master!$D$15,01_Lease_Master!$AJ$15,"m")+IF(DAY(01_Lease_Master!$AJ$15)&gt;=DAY(01_Lease_Master!$D$15),1,0)</f>
        <v>60</v>
      </c>
      <c r="I260" s="1" t="s">
        <v>153</v>
      </c>
      <c r="J260" s="1" t="str">
        <f aca="false">IF(ABS(G260-8241166.28)&lt;=0.01,"PASS","CHECK")</f>
        <v>CHECK</v>
      </c>
    </row>
    <row r="261" customFormat="false" ht="15" hidden="false" customHeight="true" outlineLevel="0" collapsed="false">
      <c r="A261" s="1" t="s">
        <v>104</v>
      </c>
      <c r="B261" s="1" t="n">
        <v>0</v>
      </c>
      <c r="C261" s="1" t="n">
        <v>7</v>
      </c>
      <c r="D261" s="7" t="n">
        <v>45566</v>
      </c>
      <c r="E261" s="6" t="n">
        <f aca="false">G260</f>
        <v>8241166.26329276</v>
      </c>
      <c r="F261" s="6" t="n">
        <f aca="false">MIN(E261,ROUND(03_Initial_Recognition!$I$15/H261,2))</f>
        <v>152614.19</v>
      </c>
      <c r="G261" s="6" t="n">
        <f aca="false">MAX(0,E261-F261)</f>
        <v>8088552.07329276</v>
      </c>
      <c r="H261" s="1" t="n">
        <f aca="false">DATEDIF(01_Lease_Master!$D$15,01_Lease_Master!$AJ$15,"m")+IF(DAY(01_Lease_Master!$AJ$15)&gt;=DAY(01_Lease_Master!$D$15),1,0)</f>
        <v>60</v>
      </c>
      <c r="I261" s="1" t="s">
        <v>153</v>
      </c>
      <c r="J261" s="1" t="str">
        <f aca="false">IF(ABS(G261-8088552.09)&lt;=0.01,"PASS","CHECK")</f>
        <v>CHECK</v>
      </c>
    </row>
    <row r="262" customFormat="false" ht="15" hidden="false" customHeight="true" outlineLevel="0" collapsed="false">
      <c r="A262" s="1" t="s">
        <v>104</v>
      </c>
      <c r="B262" s="1" t="n">
        <v>0</v>
      </c>
      <c r="C262" s="1" t="n">
        <v>8</v>
      </c>
      <c r="D262" s="7" t="n">
        <v>45597</v>
      </c>
      <c r="E262" s="6" t="n">
        <f aca="false">G261</f>
        <v>8088552.07329276</v>
      </c>
      <c r="F262" s="6" t="n">
        <f aca="false">MIN(E262,ROUND(03_Initial_Recognition!$I$15/H262,2))</f>
        <v>152614.19</v>
      </c>
      <c r="G262" s="6" t="n">
        <f aca="false">MAX(0,E262-F262)</f>
        <v>7935937.88329276</v>
      </c>
      <c r="H262" s="1" t="n">
        <f aca="false">DATEDIF(01_Lease_Master!$D$15,01_Lease_Master!$AJ$15,"m")+IF(DAY(01_Lease_Master!$AJ$15)&gt;=DAY(01_Lease_Master!$D$15),1,0)</f>
        <v>60</v>
      </c>
      <c r="I262" s="1" t="s">
        <v>153</v>
      </c>
      <c r="J262" s="1" t="str">
        <f aca="false">IF(ABS(G262-7935937.9)&lt;=0.01,"PASS","CHECK")</f>
        <v>CHECK</v>
      </c>
    </row>
    <row r="263" customFormat="false" ht="15" hidden="false" customHeight="true" outlineLevel="0" collapsed="false">
      <c r="A263" s="1" t="s">
        <v>104</v>
      </c>
      <c r="B263" s="1" t="n">
        <v>0</v>
      </c>
      <c r="C263" s="1" t="n">
        <v>9</v>
      </c>
      <c r="D263" s="7" t="n">
        <v>45627</v>
      </c>
      <c r="E263" s="6" t="n">
        <f aca="false">G262</f>
        <v>7935937.88329276</v>
      </c>
      <c r="F263" s="6" t="n">
        <f aca="false">MIN(E263,ROUND(03_Initial_Recognition!$I$15/H263,2))</f>
        <v>152614.19</v>
      </c>
      <c r="G263" s="6" t="n">
        <f aca="false">MAX(0,E263-F263)</f>
        <v>7783323.69329276</v>
      </c>
      <c r="H263" s="1" t="n">
        <f aca="false">DATEDIF(01_Lease_Master!$D$15,01_Lease_Master!$AJ$15,"m")+IF(DAY(01_Lease_Master!$AJ$15)&gt;=DAY(01_Lease_Master!$D$15),1,0)</f>
        <v>60</v>
      </c>
      <c r="I263" s="1" t="s">
        <v>153</v>
      </c>
      <c r="J263" s="1" t="str">
        <f aca="false">IF(ABS(G263-7783323.71)&lt;=0.01,"PASS","CHECK")</f>
        <v>CHECK</v>
      </c>
    </row>
    <row r="264" customFormat="false" ht="15" hidden="false" customHeight="true" outlineLevel="0" collapsed="false">
      <c r="A264" s="1" t="s">
        <v>104</v>
      </c>
      <c r="B264" s="1" t="n">
        <v>0</v>
      </c>
      <c r="C264" s="1" t="n">
        <v>10</v>
      </c>
      <c r="D264" s="7" t="n">
        <v>45658</v>
      </c>
      <c r="E264" s="6" t="n">
        <f aca="false">G263</f>
        <v>7783323.69329276</v>
      </c>
      <c r="F264" s="6" t="n">
        <f aca="false">MIN(E264,ROUND(03_Initial_Recognition!$I$15/H264,2))</f>
        <v>152614.19</v>
      </c>
      <c r="G264" s="6" t="n">
        <f aca="false">MAX(0,E264-F264)</f>
        <v>7630709.50329276</v>
      </c>
      <c r="H264" s="1" t="n">
        <f aca="false">DATEDIF(01_Lease_Master!$D$15,01_Lease_Master!$AJ$15,"m")+IF(DAY(01_Lease_Master!$AJ$15)&gt;=DAY(01_Lease_Master!$D$15),1,0)</f>
        <v>60</v>
      </c>
      <c r="I264" s="1" t="s">
        <v>153</v>
      </c>
      <c r="J264" s="1" t="str">
        <f aca="false">IF(ABS(G264-7630709.52)&lt;=0.01,"PASS","CHECK")</f>
        <v>CHECK</v>
      </c>
    </row>
    <row r="265" customFormat="false" ht="15" hidden="false" customHeight="true" outlineLevel="0" collapsed="false">
      <c r="A265" s="1" t="s">
        <v>104</v>
      </c>
      <c r="B265" s="1" t="n">
        <v>0</v>
      </c>
      <c r="C265" s="1" t="n">
        <v>11</v>
      </c>
      <c r="D265" s="7" t="n">
        <v>45689</v>
      </c>
      <c r="E265" s="6" t="n">
        <f aca="false">G264</f>
        <v>7630709.50329276</v>
      </c>
      <c r="F265" s="6" t="n">
        <f aca="false">MIN(E265,ROUND(03_Initial_Recognition!$I$15/H265,2))</f>
        <v>152614.19</v>
      </c>
      <c r="G265" s="6" t="n">
        <f aca="false">MAX(0,E265-F265)</f>
        <v>7478095.31329276</v>
      </c>
      <c r="H265" s="1" t="n">
        <f aca="false">DATEDIF(01_Lease_Master!$D$15,01_Lease_Master!$AJ$15,"m")+IF(DAY(01_Lease_Master!$AJ$15)&gt;=DAY(01_Lease_Master!$D$15),1,0)</f>
        <v>60</v>
      </c>
      <c r="I265" s="1" t="s">
        <v>153</v>
      </c>
      <c r="J265" s="1" t="str">
        <f aca="false">IF(ABS(G265-7478095.33)&lt;=0.01,"PASS","CHECK")</f>
        <v>CHECK</v>
      </c>
    </row>
    <row r="266" customFormat="false" ht="15" hidden="false" customHeight="true" outlineLevel="0" collapsed="false">
      <c r="A266" s="1" t="s">
        <v>104</v>
      </c>
      <c r="B266" s="1" t="n">
        <v>0</v>
      </c>
      <c r="C266" s="1" t="n">
        <v>12</v>
      </c>
      <c r="D266" s="7" t="n">
        <v>45717</v>
      </c>
      <c r="E266" s="6" t="n">
        <f aca="false">G265</f>
        <v>7478095.31329276</v>
      </c>
      <c r="F266" s="6" t="n">
        <f aca="false">MIN(E266,ROUND(03_Initial_Recognition!$I$15/H266,2))</f>
        <v>152614.19</v>
      </c>
      <c r="G266" s="6" t="n">
        <f aca="false">MAX(0,E266-F266)</f>
        <v>7325481.12329276</v>
      </c>
      <c r="H266" s="1" t="n">
        <f aca="false">DATEDIF(01_Lease_Master!$D$15,01_Lease_Master!$AJ$15,"m")+IF(DAY(01_Lease_Master!$AJ$15)&gt;=DAY(01_Lease_Master!$D$15),1,0)</f>
        <v>60</v>
      </c>
      <c r="I266" s="1" t="s">
        <v>153</v>
      </c>
      <c r="J266" s="1" t="str">
        <f aca="false">IF(ABS(G266-7325481.14)&lt;=0.01,"PASS","CHECK")</f>
        <v>CHECK</v>
      </c>
    </row>
    <row r="267" customFormat="false" ht="15" hidden="false" customHeight="true" outlineLevel="0" collapsed="false">
      <c r="A267" s="1" t="s">
        <v>104</v>
      </c>
      <c r="B267" s="1" t="n">
        <v>0</v>
      </c>
      <c r="C267" s="1" t="n">
        <v>13</v>
      </c>
      <c r="D267" s="7" t="n">
        <v>45748</v>
      </c>
      <c r="E267" s="6" t="n">
        <f aca="false">G266</f>
        <v>7325481.12329276</v>
      </c>
      <c r="F267" s="6" t="n">
        <f aca="false">MIN(E267,ROUND(03_Initial_Recognition!$I$15/H267,2))</f>
        <v>152614.19</v>
      </c>
      <c r="G267" s="6" t="n">
        <f aca="false">MAX(0,E267-F267)</f>
        <v>7172866.93329276</v>
      </c>
      <c r="H267" s="1" t="n">
        <f aca="false">DATEDIF(01_Lease_Master!$D$15,01_Lease_Master!$AJ$15,"m")+IF(DAY(01_Lease_Master!$AJ$15)&gt;=DAY(01_Lease_Master!$D$15),1,0)</f>
        <v>60</v>
      </c>
      <c r="I267" s="1" t="s">
        <v>153</v>
      </c>
      <c r="J267" s="1" t="str">
        <f aca="false">IF(ABS(G267-7172866.95)&lt;=0.01,"PASS","CHECK")</f>
        <v>CHECK</v>
      </c>
    </row>
    <row r="268" customFormat="false" ht="15" hidden="false" customHeight="true" outlineLevel="0" collapsed="false">
      <c r="A268" s="1" t="s">
        <v>104</v>
      </c>
      <c r="B268" s="1" t="n">
        <v>0</v>
      </c>
      <c r="C268" s="1" t="n">
        <v>14</v>
      </c>
      <c r="D268" s="7" t="n">
        <v>45778</v>
      </c>
      <c r="E268" s="6" t="n">
        <f aca="false">G267</f>
        <v>7172866.93329276</v>
      </c>
      <c r="F268" s="6" t="n">
        <f aca="false">MIN(E268,ROUND(03_Initial_Recognition!$I$15/H268,2))</f>
        <v>152614.19</v>
      </c>
      <c r="G268" s="6" t="n">
        <f aca="false">MAX(0,E268-F268)</f>
        <v>7020252.74329276</v>
      </c>
      <c r="H268" s="1" t="n">
        <f aca="false">DATEDIF(01_Lease_Master!$D$15,01_Lease_Master!$AJ$15,"m")+IF(DAY(01_Lease_Master!$AJ$15)&gt;=DAY(01_Lease_Master!$D$15),1,0)</f>
        <v>60</v>
      </c>
      <c r="I268" s="1" t="s">
        <v>153</v>
      </c>
      <c r="J268" s="1" t="str">
        <f aca="false">IF(ABS(G268-7020252.76)&lt;=0.01,"PASS","CHECK")</f>
        <v>CHECK</v>
      </c>
    </row>
    <row r="269" customFormat="false" ht="15" hidden="false" customHeight="true" outlineLevel="0" collapsed="false">
      <c r="A269" s="1" t="s">
        <v>104</v>
      </c>
      <c r="B269" s="1" t="n">
        <v>0</v>
      </c>
      <c r="C269" s="1" t="n">
        <v>15</v>
      </c>
      <c r="D269" s="7" t="n">
        <v>45809</v>
      </c>
      <c r="E269" s="6" t="n">
        <f aca="false">G268</f>
        <v>7020252.74329276</v>
      </c>
      <c r="F269" s="6" t="n">
        <f aca="false">MIN(E269,ROUND(03_Initial_Recognition!$I$15/H269,2))</f>
        <v>152614.19</v>
      </c>
      <c r="G269" s="6" t="n">
        <f aca="false">MAX(0,E269-F269)</f>
        <v>6867638.55329276</v>
      </c>
      <c r="H269" s="1" t="n">
        <f aca="false">DATEDIF(01_Lease_Master!$D$15,01_Lease_Master!$AJ$15,"m")+IF(DAY(01_Lease_Master!$AJ$15)&gt;=DAY(01_Lease_Master!$D$15),1,0)</f>
        <v>60</v>
      </c>
      <c r="I269" s="1" t="s">
        <v>153</v>
      </c>
      <c r="J269" s="1" t="str">
        <f aca="false">IF(ABS(G269-6867638.57)&lt;=0.01,"PASS","CHECK")</f>
        <v>CHECK</v>
      </c>
    </row>
    <row r="270" customFormat="false" ht="15" hidden="false" customHeight="true" outlineLevel="0" collapsed="false">
      <c r="A270" s="1" t="s">
        <v>104</v>
      </c>
      <c r="B270" s="1" t="n">
        <v>0</v>
      </c>
      <c r="C270" s="1" t="n">
        <v>16</v>
      </c>
      <c r="D270" s="7" t="n">
        <v>45839</v>
      </c>
      <c r="E270" s="6" t="n">
        <f aca="false">G269</f>
        <v>6867638.55329276</v>
      </c>
      <c r="F270" s="6" t="n">
        <f aca="false">MIN(E270,ROUND(03_Initial_Recognition!$I$15/H270,2))</f>
        <v>152614.19</v>
      </c>
      <c r="G270" s="6" t="n">
        <f aca="false">MAX(0,E270-F270)</f>
        <v>6715024.36329276</v>
      </c>
      <c r="H270" s="1" t="n">
        <f aca="false">DATEDIF(01_Lease_Master!$D$15,01_Lease_Master!$AJ$15,"m")+IF(DAY(01_Lease_Master!$AJ$15)&gt;=DAY(01_Lease_Master!$D$15),1,0)</f>
        <v>60</v>
      </c>
      <c r="I270" s="1" t="s">
        <v>153</v>
      </c>
      <c r="J270" s="1" t="str">
        <f aca="false">IF(ABS(G270-6715024.38)&lt;=0.01,"PASS","CHECK")</f>
        <v>CHECK</v>
      </c>
    </row>
    <row r="271" customFormat="false" ht="15" hidden="false" customHeight="true" outlineLevel="0" collapsed="false">
      <c r="A271" s="1" t="s">
        <v>104</v>
      </c>
      <c r="B271" s="1" t="n">
        <v>0</v>
      </c>
      <c r="C271" s="1" t="n">
        <v>17</v>
      </c>
      <c r="D271" s="7" t="n">
        <v>45870</v>
      </c>
      <c r="E271" s="6" t="n">
        <f aca="false">G270</f>
        <v>6715024.36329276</v>
      </c>
      <c r="F271" s="6" t="n">
        <f aca="false">MIN(E271,ROUND(03_Initial_Recognition!$I$15/H271,2))</f>
        <v>152614.19</v>
      </c>
      <c r="G271" s="6" t="n">
        <f aca="false">MAX(0,E271-F271)</f>
        <v>6562410.17329276</v>
      </c>
      <c r="H271" s="1" t="n">
        <f aca="false">DATEDIF(01_Lease_Master!$D$15,01_Lease_Master!$AJ$15,"m")+IF(DAY(01_Lease_Master!$AJ$15)&gt;=DAY(01_Lease_Master!$D$15),1,0)</f>
        <v>60</v>
      </c>
      <c r="I271" s="1" t="s">
        <v>153</v>
      </c>
      <c r="J271" s="1" t="str">
        <f aca="false">IF(ABS(G271-6562410.19)&lt;=0.01,"PASS","CHECK")</f>
        <v>CHECK</v>
      </c>
    </row>
    <row r="272" customFormat="false" ht="15" hidden="false" customHeight="true" outlineLevel="0" collapsed="false">
      <c r="A272" s="1" t="s">
        <v>104</v>
      </c>
      <c r="B272" s="1" t="n">
        <v>0</v>
      </c>
      <c r="C272" s="1" t="n">
        <v>18</v>
      </c>
      <c r="D272" s="7" t="n">
        <v>45901</v>
      </c>
      <c r="E272" s="6" t="n">
        <f aca="false">G271</f>
        <v>6562410.17329276</v>
      </c>
      <c r="F272" s="6" t="n">
        <f aca="false">MIN(E272,ROUND(03_Initial_Recognition!$I$15/H272,2))</f>
        <v>152614.19</v>
      </c>
      <c r="G272" s="6" t="n">
        <f aca="false">MAX(0,E272-F272)</f>
        <v>6409795.98329276</v>
      </c>
      <c r="H272" s="1" t="n">
        <f aca="false">DATEDIF(01_Lease_Master!$D$15,01_Lease_Master!$AJ$15,"m")+IF(DAY(01_Lease_Master!$AJ$15)&gt;=DAY(01_Lease_Master!$D$15),1,0)</f>
        <v>60</v>
      </c>
      <c r="I272" s="1" t="s">
        <v>153</v>
      </c>
      <c r="J272" s="1" t="str">
        <f aca="false">IF(ABS(G272-6409796)&lt;=0.01,"PASS","CHECK")</f>
        <v>CHECK</v>
      </c>
    </row>
    <row r="273" customFormat="false" ht="15" hidden="false" customHeight="true" outlineLevel="0" collapsed="false">
      <c r="A273" s="1" t="s">
        <v>104</v>
      </c>
      <c r="B273" s="1" t="n">
        <v>0</v>
      </c>
      <c r="C273" s="1" t="n">
        <v>19</v>
      </c>
      <c r="D273" s="7" t="n">
        <v>45931</v>
      </c>
      <c r="E273" s="6" t="n">
        <f aca="false">G272</f>
        <v>6409795.98329276</v>
      </c>
      <c r="F273" s="6" t="n">
        <f aca="false">MIN(E273,ROUND(03_Initial_Recognition!$I$15/H273,2))</f>
        <v>152614.19</v>
      </c>
      <c r="G273" s="6" t="n">
        <f aca="false">MAX(0,E273-F273)</f>
        <v>6257181.79329276</v>
      </c>
      <c r="H273" s="1" t="n">
        <f aca="false">DATEDIF(01_Lease_Master!$D$15,01_Lease_Master!$AJ$15,"m")+IF(DAY(01_Lease_Master!$AJ$15)&gt;=DAY(01_Lease_Master!$D$15),1,0)</f>
        <v>60</v>
      </c>
      <c r="I273" s="1" t="s">
        <v>153</v>
      </c>
      <c r="J273" s="1" t="str">
        <f aca="false">IF(ABS(G273-6257181.81)&lt;=0.01,"PASS","CHECK")</f>
        <v>CHECK</v>
      </c>
    </row>
    <row r="274" customFormat="false" ht="15" hidden="false" customHeight="true" outlineLevel="0" collapsed="false">
      <c r="A274" s="1" t="s">
        <v>104</v>
      </c>
      <c r="B274" s="1" t="n">
        <v>0</v>
      </c>
      <c r="C274" s="1" t="n">
        <v>20</v>
      </c>
      <c r="D274" s="7" t="n">
        <v>45962</v>
      </c>
      <c r="E274" s="6" t="n">
        <f aca="false">G273</f>
        <v>6257181.79329276</v>
      </c>
      <c r="F274" s="6" t="n">
        <f aca="false">MIN(E274,ROUND(03_Initial_Recognition!$I$15/H274,2))</f>
        <v>152614.19</v>
      </c>
      <c r="G274" s="6" t="n">
        <f aca="false">MAX(0,E274-F274)</f>
        <v>6104567.60329276</v>
      </c>
      <c r="H274" s="1" t="n">
        <f aca="false">DATEDIF(01_Lease_Master!$D$15,01_Lease_Master!$AJ$15,"m")+IF(DAY(01_Lease_Master!$AJ$15)&gt;=DAY(01_Lease_Master!$D$15),1,0)</f>
        <v>60</v>
      </c>
      <c r="I274" s="1" t="s">
        <v>153</v>
      </c>
      <c r="J274" s="1" t="str">
        <f aca="false">IF(ABS(G274-6104567.62)&lt;=0.01,"PASS","CHECK")</f>
        <v>CHECK</v>
      </c>
    </row>
    <row r="275" customFormat="false" ht="15" hidden="false" customHeight="true" outlineLevel="0" collapsed="false">
      <c r="A275" s="1" t="s">
        <v>104</v>
      </c>
      <c r="B275" s="1" t="n">
        <v>0</v>
      </c>
      <c r="C275" s="1" t="n">
        <v>21</v>
      </c>
      <c r="D275" s="7" t="n">
        <v>45992</v>
      </c>
      <c r="E275" s="6" t="n">
        <f aca="false">G274</f>
        <v>6104567.60329276</v>
      </c>
      <c r="F275" s="6" t="n">
        <f aca="false">MIN(E275,ROUND(03_Initial_Recognition!$I$15/H275,2))</f>
        <v>152614.19</v>
      </c>
      <c r="G275" s="6" t="n">
        <f aca="false">MAX(0,E275-F275)</f>
        <v>5951953.41329275</v>
      </c>
      <c r="H275" s="1" t="n">
        <f aca="false">DATEDIF(01_Lease_Master!$D$15,01_Lease_Master!$AJ$15,"m")+IF(DAY(01_Lease_Master!$AJ$15)&gt;=DAY(01_Lease_Master!$D$15),1,0)</f>
        <v>60</v>
      </c>
      <c r="I275" s="1" t="s">
        <v>153</v>
      </c>
      <c r="J275" s="1" t="str">
        <f aca="false">IF(ABS(G275-5951953.43)&lt;=0.01,"PASS","CHECK")</f>
        <v>CHECK</v>
      </c>
    </row>
    <row r="276" customFormat="false" ht="15" hidden="false" customHeight="true" outlineLevel="0" collapsed="false">
      <c r="A276" s="1" t="s">
        <v>104</v>
      </c>
      <c r="B276" s="1" t="n">
        <v>0</v>
      </c>
      <c r="C276" s="1" t="n">
        <v>22</v>
      </c>
      <c r="D276" s="7" t="n">
        <v>46023</v>
      </c>
      <c r="E276" s="6" t="n">
        <f aca="false">G275</f>
        <v>5951953.41329275</v>
      </c>
      <c r="F276" s="6" t="n">
        <f aca="false">MIN(E276,ROUND(03_Initial_Recognition!$I$15/H276,2))</f>
        <v>152614.19</v>
      </c>
      <c r="G276" s="6" t="n">
        <f aca="false">MAX(0,E276-F276)</f>
        <v>5799339.22329275</v>
      </c>
      <c r="H276" s="1" t="n">
        <f aca="false">DATEDIF(01_Lease_Master!$D$15,01_Lease_Master!$AJ$15,"m")+IF(DAY(01_Lease_Master!$AJ$15)&gt;=DAY(01_Lease_Master!$D$15),1,0)</f>
        <v>60</v>
      </c>
      <c r="I276" s="1" t="s">
        <v>153</v>
      </c>
      <c r="J276" s="1" t="str">
        <f aca="false">IF(ABS(G276-5799339.24)&lt;=0.01,"PASS","CHECK")</f>
        <v>CHECK</v>
      </c>
    </row>
    <row r="277" customFormat="false" ht="15" hidden="false" customHeight="true" outlineLevel="0" collapsed="false">
      <c r="A277" s="1" t="s">
        <v>104</v>
      </c>
      <c r="B277" s="1" t="n">
        <v>0</v>
      </c>
      <c r="C277" s="1" t="n">
        <v>23</v>
      </c>
      <c r="D277" s="7" t="n">
        <v>46054</v>
      </c>
      <c r="E277" s="6" t="n">
        <f aca="false">G276</f>
        <v>5799339.22329275</v>
      </c>
      <c r="F277" s="6" t="n">
        <f aca="false">MIN(E277,ROUND(03_Initial_Recognition!$I$15/H277,2))</f>
        <v>152614.19</v>
      </c>
      <c r="G277" s="6" t="n">
        <f aca="false">MAX(0,E277-F277)</f>
        <v>5646725.03329275</v>
      </c>
      <c r="H277" s="1" t="n">
        <f aca="false">DATEDIF(01_Lease_Master!$D$15,01_Lease_Master!$AJ$15,"m")+IF(DAY(01_Lease_Master!$AJ$15)&gt;=DAY(01_Lease_Master!$D$15),1,0)</f>
        <v>60</v>
      </c>
      <c r="I277" s="1" t="s">
        <v>153</v>
      </c>
      <c r="J277" s="1" t="str">
        <f aca="false">IF(ABS(G277-5646725.05)&lt;=0.01,"PASS","CHECK")</f>
        <v>CHECK</v>
      </c>
    </row>
    <row r="278" customFormat="false" ht="15" hidden="false" customHeight="true" outlineLevel="0" collapsed="false">
      <c r="A278" s="1" t="s">
        <v>104</v>
      </c>
      <c r="B278" s="1" t="n">
        <v>0</v>
      </c>
      <c r="C278" s="1" t="n">
        <v>24</v>
      </c>
      <c r="D278" s="7" t="n">
        <v>46082</v>
      </c>
      <c r="E278" s="6" t="n">
        <f aca="false">G277</f>
        <v>5646725.03329275</v>
      </c>
      <c r="F278" s="6" t="n">
        <f aca="false">MIN(E278,ROUND(03_Initial_Recognition!$I$15/H278,2))</f>
        <v>152614.19</v>
      </c>
      <c r="G278" s="6" t="n">
        <f aca="false">MAX(0,E278-F278)</f>
        <v>5494110.84329275</v>
      </c>
      <c r="H278" s="1" t="n">
        <f aca="false">DATEDIF(01_Lease_Master!$D$15,01_Lease_Master!$AJ$15,"m")+IF(DAY(01_Lease_Master!$AJ$15)&gt;=DAY(01_Lease_Master!$D$15),1,0)</f>
        <v>60</v>
      </c>
      <c r="I278" s="1" t="s">
        <v>153</v>
      </c>
      <c r="J278" s="1" t="str">
        <f aca="false">IF(ABS(G278-5494110.86)&lt;=0.01,"PASS","CHECK")</f>
        <v>CHECK</v>
      </c>
    </row>
    <row r="279" customFormat="false" ht="15" hidden="false" customHeight="true" outlineLevel="0" collapsed="false">
      <c r="A279" s="1" t="s">
        <v>104</v>
      </c>
      <c r="B279" s="1" t="n">
        <v>0</v>
      </c>
      <c r="C279" s="1" t="n">
        <v>25</v>
      </c>
      <c r="D279" s="7" t="n">
        <v>46113</v>
      </c>
      <c r="E279" s="6" t="n">
        <f aca="false">G278</f>
        <v>5494110.84329275</v>
      </c>
      <c r="F279" s="6" t="n">
        <f aca="false">MIN(E279,ROUND(03_Initial_Recognition!$I$15/H279,2))</f>
        <v>152614.19</v>
      </c>
      <c r="G279" s="6" t="n">
        <f aca="false">MAX(0,E279-F279)</f>
        <v>5341496.65329275</v>
      </c>
      <c r="H279" s="1" t="n">
        <f aca="false">DATEDIF(01_Lease_Master!$D$15,01_Lease_Master!$AJ$15,"m")+IF(DAY(01_Lease_Master!$AJ$15)&gt;=DAY(01_Lease_Master!$D$15),1,0)</f>
        <v>60</v>
      </c>
      <c r="I279" s="1" t="s">
        <v>153</v>
      </c>
      <c r="J279" s="1" t="str">
        <f aca="false">IF(ABS(G279-5341496.67)&lt;=0.01,"PASS","CHECK")</f>
        <v>CHECK</v>
      </c>
    </row>
    <row r="280" customFormat="false" ht="15" hidden="false" customHeight="true" outlineLevel="0" collapsed="false">
      <c r="A280" s="1" t="s">
        <v>104</v>
      </c>
      <c r="B280" s="1" t="n">
        <v>0</v>
      </c>
      <c r="C280" s="1" t="n">
        <v>26</v>
      </c>
      <c r="D280" s="7" t="n">
        <v>46143</v>
      </c>
      <c r="E280" s="6" t="n">
        <f aca="false">G279</f>
        <v>5341496.65329275</v>
      </c>
      <c r="F280" s="6" t="n">
        <f aca="false">MIN(E280,ROUND(03_Initial_Recognition!$I$15/H280,2))</f>
        <v>152614.19</v>
      </c>
      <c r="G280" s="6" t="n">
        <f aca="false">MAX(0,E280-F280)</f>
        <v>5188882.46329275</v>
      </c>
      <c r="H280" s="1" t="n">
        <f aca="false">DATEDIF(01_Lease_Master!$D$15,01_Lease_Master!$AJ$15,"m")+IF(DAY(01_Lease_Master!$AJ$15)&gt;=DAY(01_Lease_Master!$D$15),1,0)</f>
        <v>60</v>
      </c>
      <c r="I280" s="1" t="s">
        <v>153</v>
      </c>
      <c r="J280" s="1" t="str">
        <f aca="false">IF(ABS(G280-5188882.48)&lt;=0.01,"PASS","CHECK")</f>
        <v>CHECK</v>
      </c>
    </row>
    <row r="281" customFormat="false" ht="15" hidden="false" customHeight="true" outlineLevel="0" collapsed="false">
      <c r="A281" s="1" t="s">
        <v>104</v>
      </c>
      <c r="B281" s="1" t="n">
        <v>0</v>
      </c>
      <c r="C281" s="1" t="n">
        <v>27</v>
      </c>
      <c r="D281" s="7" t="n">
        <v>46174</v>
      </c>
      <c r="E281" s="6" t="n">
        <f aca="false">G280</f>
        <v>5188882.46329275</v>
      </c>
      <c r="F281" s="6" t="n">
        <f aca="false">MIN(E281,ROUND(03_Initial_Recognition!$I$15/H281,2))</f>
        <v>152614.19</v>
      </c>
      <c r="G281" s="6" t="n">
        <f aca="false">MAX(0,E281-F281)</f>
        <v>5036268.27329275</v>
      </c>
      <c r="H281" s="1" t="n">
        <f aca="false">DATEDIF(01_Lease_Master!$D$15,01_Lease_Master!$AJ$15,"m")+IF(DAY(01_Lease_Master!$AJ$15)&gt;=DAY(01_Lease_Master!$D$15),1,0)</f>
        <v>60</v>
      </c>
      <c r="I281" s="1" t="s">
        <v>153</v>
      </c>
      <c r="J281" s="1" t="str">
        <f aca="false">IF(ABS(G281-5036268.29)&lt;=0.01,"PASS","CHECK")</f>
        <v>CHECK</v>
      </c>
    </row>
    <row r="282" customFormat="false" ht="15" hidden="false" customHeight="true" outlineLevel="0" collapsed="false">
      <c r="A282" s="1" t="s">
        <v>104</v>
      </c>
      <c r="B282" s="1" t="n">
        <v>0</v>
      </c>
      <c r="C282" s="1" t="n">
        <v>28</v>
      </c>
      <c r="D282" s="7" t="n">
        <v>46204</v>
      </c>
      <c r="E282" s="6" t="n">
        <f aca="false">G281</f>
        <v>5036268.27329275</v>
      </c>
      <c r="F282" s="6" t="n">
        <f aca="false">MIN(E282,ROUND(03_Initial_Recognition!$I$15/H282,2))</f>
        <v>152614.19</v>
      </c>
      <c r="G282" s="6" t="n">
        <f aca="false">MAX(0,E282-F282)</f>
        <v>4883654.08329275</v>
      </c>
      <c r="H282" s="1" t="n">
        <f aca="false">DATEDIF(01_Lease_Master!$D$15,01_Lease_Master!$AJ$15,"m")+IF(DAY(01_Lease_Master!$AJ$15)&gt;=DAY(01_Lease_Master!$D$15),1,0)</f>
        <v>60</v>
      </c>
      <c r="I282" s="1" t="s">
        <v>153</v>
      </c>
      <c r="J282" s="1" t="str">
        <f aca="false">IF(ABS(G282-4883654.1)&lt;=0.01,"PASS","CHECK")</f>
        <v>CHECK</v>
      </c>
    </row>
    <row r="283" customFormat="false" ht="15" hidden="false" customHeight="true" outlineLevel="0" collapsed="false">
      <c r="A283" s="1" t="s">
        <v>104</v>
      </c>
      <c r="B283" s="1" t="n">
        <v>0</v>
      </c>
      <c r="C283" s="1" t="n">
        <v>29</v>
      </c>
      <c r="D283" s="7" t="n">
        <v>46235</v>
      </c>
      <c r="E283" s="6" t="n">
        <f aca="false">G282</f>
        <v>4883654.08329275</v>
      </c>
      <c r="F283" s="6" t="n">
        <f aca="false">MIN(E283,ROUND(03_Initial_Recognition!$I$15/H283,2))</f>
        <v>152614.19</v>
      </c>
      <c r="G283" s="6" t="n">
        <f aca="false">MAX(0,E283-F283)</f>
        <v>4731039.89329275</v>
      </c>
      <c r="H283" s="1" t="n">
        <f aca="false">DATEDIF(01_Lease_Master!$D$15,01_Lease_Master!$AJ$15,"m")+IF(DAY(01_Lease_Master!$AJ$15)&gt;=DAY(01_Lease_Master!$D$15),1,0)</f>
        <v>60</v>
      </c>
      <c r="I283" s="1" t="s">
        <v>153</v>
      </c>
      <c r="J283" s="1" t="str">
        <f aca="false">IF(ABS(G283-4731039.91)&lt;=0.01,"PASS","CHECK")</f>
        <v>CHECK</v>
      </c>
    </row>
    <row r="284" customFormat="false" ht="15" hidden="false" customHeight="true" outlineLevel="0" collapsed="false">
      <c r="A284" s="1" t="s">
        <v>104</v>
      </c>
      <c r="B284" s="1" t="n">
        <v>0</v>
      </c>
      <c r="C284" s="1" t="n">
        <v>30</v>
      </c>
      <c r="D284" s="7" t="n">
        <v>46266</v>
      </c>
      <c r="E284" s="6" t="n">
        <f aca="false">G283</f>
        <v>4731039.89329275</v>
      </c>
      <c r="F284" s="6" t="n">
        <f aca="false">MIN(E284,ROUND(03_Initial_Recognition!$I$15/H284,2))</f>
        <v>152614.19</v>
      </c>
      <c r="G284" s="6" t="n">
        <f aca="false">MAX(0,E284-F284)</f>
        <v>4578425.70329275</v>
      </c>
      <c r="H284" s="1" t="n">
        <f aca="false">DATEDIF(01_Lease_Master!$D$15,01_Lease_Master!$AJ$15,"m")+IF(DAY(01_Lease_Master!$AJ$15)&gt;=DAY(01_Lease_Master!$D$15),1,0)</f>
        <v>60</v>
      </c>
      <c r="I284" s="1" t="s">
        <v>153</v>
      </c>
      <c r="J284" s="1" t="str">
        <f aca="false">IF(ABS(G284-4578425.72)&lt;=0.01,"PASS","CHECK")</f>
        <v>CHECK</v>
      </c>
    </row>
    <row r="285" customFormat="false" ht="15" hidden="false" customHeight="true" outlineLevel="0" collapsed="false">
      <c r="A285" s="1" t="s">
        <v>104</v>
      </c>
      <c r="B285" s="1" t="s">
        <v>145</v>
      </c>
      <c r="C285" s="1" t="s">
        <v>145</v>
      </c>
      <c r="D285" s="7" t="n">
        <v>46271</v>
      </c>
      <c r="G285" s="6" t="n">
        <f aca="false">IFERROR(LOOKUP(2,1/(A$6:A284=A285),G$6:G284),SUMIF(03_Initial_Recognition!A:A,A285,03_Initial_Recognition!I:I))</f>
        <v>4578425.70329275</v>
      </c>
      <c r="J285" s="1" t="str">
        <f aca="false">IF(ABS(G285-4578425.72)&lt;=0.01,"PASS","CHECK")</f>
        <v>CHECK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45"/>
    <col collapsed="false" customWidth="true" hidden="false" outlineLevel="0" max="5" min="5" style="1" width="26"/>
    <col collapsed="false" customWidth="true" hidden="false" outlineLevel="0" max="7" min="6" style="1" width="45"/>
    <col collapsed="false" customWidth="true" hidden="false" outlineLevel="0" max="8" min="8" style="1" width="24"/>
    <col collapsed="false" customWidth="true" hidden="false" outlineLevel="0" max="9" min="9" style="1" width="45"/>
    <col collapsed="false" customWidth="true" hidden="false" outlineLevel="0" max="10" min="10" style="1" width="21"/>
    <col collapsed="false" customWidth="true" hidden="false" outlineLevel="0" max="11" min="11" style="1" width="45"/>
  </cols>
  <sheetData>
    <row r="1" customFormat="false" ht="17.25" hidden="false" customHeight="true" outlineLevel="0" collapsed="false">
      <c r="A1" s="2" t="s">
        <v>154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116</v>
      </c>
      <c r="C5" s="4" t="s">
        <v>147</v>
      </c>
      <c r="D5" s="4" t="s">
        <v>137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161</v>
      </c>
    </row>
    <row r="6" customFormat="false" ht="15" hidden="false" customHeight="true" outlineLevel="0" collapsed="false">
      <c r="A6" s="1" t="s">
        <v>65</v>
      </c>
      <c r="B6" s="1" t="n">
        <v>1</v>
      </c>
      <c r="C6" s="7" t="n">
        <v>44682</v>
      </c>
      <c r="D6" s="6" t="n">
        <f aca="false">IF(01_Lease_Master!$D$6&gt;$B$3,0,ROUND(01_Lease_Master!$U$6-03_Initial_Recognition!$H$6,2))</f>
        <v>224177.45</v>
      </c>
      <c r="E6" s="6" t="n">
        <f aca="false">01_Lease_Master!$W$6</f>
        <v>0.06</v>
      </c>
      <c r="F6" s="6" t="n">
        <f aca="false">D6*((1+E6)^((C6-IF(B6=1,01_Lease_Master!$D$6,C5))/365)-1)</f>
        <v>1076.211373215</v>
      </c>
      <c r="G6" s="1" t="n">
        <f aca="false">IF(C6=01_Lease_Master!$V$6,01_Lease_Master!$U$6,0)</f>
        <v>0</v>
      </c>
      <c r="H6" s="6" t="n">
        <f aca="false">MAX(0,D6+F6-G6)</f>
        <v>225253.661373215</v>
      </c>
      <c r="I6" s="6" t="n">
        <f aca="false">H6*IF(AND(01_Lease_Master!$Y$6&gt;0,01_Lease_Master!$Z$6&gt;0),01_Lease_Master!$Y$6*01_Lease_Master!$Z$6,01_Lease_Master!$X$6)</f>
        <v>2252.53661373215</v>
      </c>
      <c r="J6" s="6" t="n">
        <f aca="false">MAX(0,H6-I6)</f>
        <v>223001.124759483</v>
      </c>
      <c r="K6" s="1" t="s">
        <v>162</v>
      </c>
    </row>
    <row r="7" customFormat="false" ht="15" hidden="false" customHeight="true" outlineLevel="0" collapsed="false">
      <c r="A7" s="1" t="s">
        <v>65</v>
      </c>
      <c r="B7" s="1" t="n">
        <v>2</v>
      </c>
      <c r="C7" s="7" t="n">
        <v>44713</v>
      </c>
      <c r="D7" s="6" t="n">
        <f aca="false">H6</f>
        <v>225253.661373215</v>
      </c>
      <c r="E7" s="6" t="n">
        <f aca="false">01_Lease_Master!$W$6</f>
        <v>0.06</v>
      </c>
      <c r="F7" s="6" t="n">
        <f aca="false">D7*((1+E7)^((C7-IF(B7=1,01_Lease_Master!$D$6,C6))/365)-1)</f>
        <v>1117.51315505838</v>
      </c>
      <c r="G7" s="1" t="n">
        <f aca="false">IF(C7=01_Lease_Master!$V$6,01_Lease_Master!$U$6,0)</f>
        <v>0</v>
      </c>
      <c r="H7" s="6" t="n">
        <f aca="false">MAX(0,D7+F7-G7)</f>
        <v>226371.174528273</v>
      </c>
      <c r="I7" s="6" t="n">
        <f aca="false">H7*IF(AND(01_Lease_Master!$Y$6&gt;0,01_Lease_Master!$Z$6&gt;0),01_Lease_Master!$Y$6*01_Lease_Master!$Z$6,01_Lease_Master!$X$6)</f>
        <v>2263.71174528273</v>
      </c>
      <c r="J7" s="6" t="n">
        <f aca="false">MAX(0,H7-I7)</f>
        <v>224107.462782991</v>
      </c>
      <c r="K7" s="1" t="s">
        <v>162</v>
      </c>
    </row>
    <row r="8" customFormat="false" ht="15" hidden="false" customHeight="true" outlineLevel="0" collapsed="false">
      <c r="A8" s="1" t="s">
        <v>65</v>
      </c>
      <c r="B8" s="1" t="n">
        <v>3</v>
      </c>
      <c r="C8" s="7" t="n">
        <v>44743</v>
      </c>
      <c r="D8" s="6" t="n">
        <f aca="false">H7</f>
        <v>226371.174528273</v>
      </c>
      <c r="E8" s="6" t="n">
        <f aca="false">01_Lease_Master!$W$6</f>
        <v>0.06</v>
      </c>
      <c r="F8" s="6" t="n">
        <f aca="false">D8*((1+E8)^((C8-IF(B8=1,01_Lease_Master!$D$6,C7))/365)-1)</f>
        <v>1086.74281287152</v>
      </c>
      <c r="G8" s="1" t="n">
        <f aca="false">IF(C8=01_Lease_Master!$V$6,01_Lease_Master!$U$6,0)</f>
        <v>0</v>
      </c>
      <c r="H8" s="6" t="n">
        <f aca="false">MAX(0,D8+F8-G8)</f>
        <v>227457.917341145</v>
      </c>
      <c r="I8" s="6" t="n">
        <f aca="false">H8*IF(AND(01_Lease_Master!$Y$6&gt;0,01_Lease_Master!$Z$6&gt;0),01_Lease_Master!$Y$6*01_Lease_Master!$Z$6,01_Lease_Master!$X$6)</f>
        <v>2274.57917341145</v>
      </c>
      <c r="J8" s="6" t="n">
        <f aca="false">MAX(0,H8-I8)</f>
        <v>225183.338167733</v>
      </c>
      <c r="K8" s="1" t="s">
        <v>162</v>
      </c>
    </row>
    <row r="9" customFormat="false" ht="15" hidden="false" customHeight="true" outlineLevel="0" collapsed="false">
      <c r="A9" s="1" t="s">
        <v>65</v>
      </c>
      <c r="B9" s="1" t="n">
        <v>4</v>
      </c>
      <c r="C9" s="7" t="n">
        <v>44774</v>
      </c>
      <c r="D9" s="6" t="n">
        <f aca="false">H8</f>
        <v>227457.917341145</v>
      </c>
      <c r="E9" s="6" t="n">
        <f aca="false">01_Lease_Master!$W$6</f>
        <v>0.06</v>
      </c>
      <c r="F9" s="6" t="n">
        <f aca="false">D9*((1+E9)^((C9-IF(B9=1,01_Lease_Master!$D$6,C8))/365)-1)</f>
        <v>1128.44875995049</v>
      </c>
      <c r="G9" s="1" t="n">
        <f aca="false">IF(C9=01_Lease_Master!$V$6,01_Lease_Master!$U$6,0)</f>
        <v>0</v>
      </c>
      <c r="H9" s="6" t="n">
        <f aca="false">MAX(0,D9+F9-G9)</f>
        <v>228586.366101095</v>
      </c>
      <c r="I9" s="6" t="n">
        <f aca="false">H9*IF(AND(01_Lease_Master!$Y$6&gt;0,01_Lease_Master!$Z$6&gt;0),01_Lease_Master!$Y$6*01_Lease_Master!$Z$6,01_Lease_Master!$X$6)</f>
        <v>2285.86366101095</v>
      </c>
      <c r="J9" s="6" t="n">
        <f aca="false">MAX(0,H9-I9)</f>
        <v>226300.502440084</v>
      </c>
      <c r="K9" s="1" t="s">
        <v>162</v>
      </c>
    </row>
    <row r="10" customFormat="false" ht="15" hidden="false" customHeight="true" outlineLevel="0" collapsed="false">
      <c r="A10" s="1" t="s">
        <v>65</v>
      </c>
      <c r="B10" s="1" t="n">
        <v>5</v>
      </c>
      <c r="C10" s="7" t="n">
        <v>44805</v>
      </c>
      <c r="D10" s="6" t="n">
        <f aca="false">H9</f>
        <v>228586.366101095</v>
      </c>
      <c r="E10" s="6" t="n">
        <f aca="false">01_Lease_Master!$W$6</f>
        <v>0.06</v>
      </c>
      <c r="F10" s="6" t="n">
        <f aca="false">D10*((1+E10)^((C10-IF(B10=1,01_Lease_Master!$D$6,C9))/365)-1)</f>
        <v>1134.04714324142</v>
      </c>
      <c r="G10" s="1" t="n">
        <f aca="false">IF(C10=01_Lease_Master!$V$6,01_Lease_Master!$U$6,0)</f>
        <v>0</v>
      </c>
      <c r="H10" s="6" t="n">
        <f aca="false">MAX(0,D10+F10-G10)</f>
        <v>229720.413244337</v>
      </c>
      <c r="I10" s="6" t="n">
        <f aca="false">H10*IF(AND(01_Lease_Master!$Y$6&gt;0,01_Lease_Master!$Z$6&gt;0),01_Lease_Master!$Y$6*01_Lease_Master!$Z$6,01_Lease_Master!$X$6)</f>
        <v>2297.20413244337</v>
      </c>
      <c r="J10" s="6" t="n">
        <f aca="false">MAX(0,H10-I10)</f>
        <v>227423.209111893</v>
      </c>
      <c r="K10" s="1" t="s">
        <v>162</v>
      </c>
    </row>
    <row r="11" customFormat="false" ht="15" hidden="false" customHeight="true" outlineLevel="0" collapsed="false">
      <c r="A11" s="1" t="s">
        <v>65</v>
      </c>
      <c r="B11" s="1" t="n">
        <v>6</v>
      </c>
      <c r="C11" s="7" t="n">
        <v>44835</v>
      </c>
      <c r="D11" s="6" t="n">
        <f aca="false">H10</f>
        <v>229720.413244337</v>
      </c>
      <c r="E11" s="6" t="n">
        <f aca="false">01_Lease_Master!$W$6</f>
        <v>0.06</v>
      </c>
      <c r="F11" s="6" t="n">
        <f aca="false">D11*((1+E11)^((C11-IF(B11=1,01_Lease_Master!$D$6,C10))/365)-1)</f>
        <v>1102.82154334972</v>
      </c>
      <c r="G11" s="1" t="n">
        <f aca="false">IF(C11=01_Lease_Master!$V$6,01_Lease_Master!$U$6,0)</f>
        <v>0</v>
      </c>
      <c r="H11" s="6" t="n">
        <f aca="false">MAX(0,D11+F11-G11)</f>
        <v>230823.234787687</v>
      </c>
      <c r="I11" s="6" t="n">
        <f aca="false">H11*IF(AND(01_Lease_Master!$Y$6&gt;0,01_Lease_Master!$Z$6&gt;0),01_Lease_Master!$Y$6*01_Lease_Master!$Z$6,01_Lease_Master!$X$6)</f>
        <v>2308.23234787687</v>
      </c>
      <c r="J11" s="6" t="n">
        <f aca="false">MAX(0,H11-I11)</f>
        <v>228515.00243981</v>
      </c>
      <c r="K11" s="1" t="s">
        <v>162</v>
      </c>
    </row>
    <row r="12" customFormat="false" ht="15" hidden="false" customHeight="true" outlineLevel="0" collapsed="false">
      <c r="A12" s="1" t="s">
        <v>65</v>
      </c>
      <c r="B12" s="1" t="n">
        <v>7</v>
      </c>
      <c r="C12" s="7" t="n">
        <v>44866</v>
      </c>
      <c r="D12" s="6" t="n">
        <f aca="false">H11</f>
        <v>230823.234787687</v>
      </c>
      <c r="E12" s="6" t="n">
        <f aca="false">01_Lease_Master!$W$6</f>
        <v>0.06</v>
      </c>
      <c r="F12" s="6" t="n">
        <f aca="false">D12*((1+E12)^((C12-IF(B12=1,01_Lease_Master!$D$6,C11))/365)-1)</f>
        <v>1145.14454413677</v>
      </c>
      <c r="G12" s="1" t="n">
        <f aca="false">IF(C12=01_Lease_Master!$V$6,01_Lease_Master!$U$6,0)</f>
        <v>0</v>
      </c>
      <c r="H12" s="6" t="n">
        <f aca="false">MAX(0,D12+F12-G12)</f>
        <v>231968.379331823</v>
      </c>
      <c r="I12" s="6" t="n">
        <f aca="false">H12*IF(AND(01_Lease_Master!$Y$6&gt;0,01_Lease_Master!$Z$6&gt;0),01_Lease_Master!$Y$6*01_Lease_Master!$Z$6,01_Lease_Master!$X$6)</f>
        <v>2319.68379331823</v>
      </c>
      <c r="J12" s="6" t="n">
        <f aca="false">MAX(0,H12-I12)</f>
        <v>229648.695538505</v>
      </c>
      <c r="K12" s="1" t="s">
        <v>162</v>
      </c>
    </row>
    <row r="13" customFormat="false" ht="15" hidden="false" customHeight="true" outlineLevel="0" collapsed="false">
      <c r="A13" s="1" t="s">
        <v>65</v>
      </c>
      <c r="B13" s="1" t="n">
        <v>8</v>
      </c>
      <c r="C13" s="7" t="n">
        <v>44896</v>
      </c>
      <c r="D13" s="6" t="n">
        <f aca="false">H12</f>
        <v>231968.379331823</v>
      </c>
      <c r="E13" s="6" t="n">
        <f aca="false">01_Lease_Master!$W$6</f>
        <v>0.06</v>
      </c>
      <c r="F13" s="6" t="n">
        <f aca="false">D13*((1+E13)^((C13-IF(B13=1,01_Lease_Master!$D$6,C12))/365)-1)</f>
        <v>1113.61338111018</v>
      </c>
      <c r="G13" s="1" t="n">
        <f aca="false">IF(C13=01_Lease_Master!$V$6,01_Lease_Master!$U$6,0)</f>
        <v>0</v>
      </c>
      <c r="H13" s="6" t="n">
        <f aca="false">MAX(0,D13+F13-G13)</f>
        <v>233081.992712933</v>
      </c>
      <c r="I13" s="6" t="n">
        <f aca="false">H13*IF(AND(01_Lease_Master!$Y$6&gt;0,01_Lease_Master!$Z$6&gt;0),01_Lease_Master!$Y$6*01_Lease_Master!$Z$6,01_Lease_Master!$X$6)</f>
        <v>2330.81992712933</v>
      </c>
      <c r="J13" s="6" t="n">
        <f aca="false">MAX(0,H13-I13)</f>
        <v>230751.172785804</v>
      </c>
      <c r="K13" s="1" t="s">
        <v>162</v>
      </c>
    </row>
    <row r="14" customFormat="false" ht="15" hidden="false" customHeight="true" outlineLevel="0" collapsed="false">
      <c r="A14" s="1" t="s">
        <v>65</v>
      </c>
      <c r="B14" s="1" t="n">
        <v>9</v>
      </c>
      <c r="C14" s="7" t="n">
        <v>44927</v>
      </c>
      <c r="D14" s="6" t="n">
        <f aca="false">H13</f>
        <v>233081.992712933</v>
      </c>
      <c r="E14" s="6" t="n">
        <f aca="false">01_Lease_Master!$W$6</f>
        <v>0.06</v>
      </c>
      <c r="F14" s="6" t="n">
        <f aca="false">D14*((1+E14)^((C14-IF(B14=1,01_Lease_Master!$D$6,C13))/365)-1)</f>
        <v>1156.3505404352</v>
      </c>
      <c r="G14" s="1" t="n">
        <f aca="false">IF(C14=01_Lease_Master!$V$6,01_Lease_Master!$U$6,0)</f>
        <v>0</v>
      </c>
      <c r="H14" s="6" t="n">
        <f aca="false">MAX(0,D14+F14-G14)</f>
        <v>234238.343253369</v>
      </c>
      <c r="I14" s="6" t="n">
        <f aca="false">H14*IF(AND(01_Lease_Master!$Y$6&gt;0,01_Lease_Master!$Z$6&gt;0),01_Lease_Master!$Y$6*01_Lease_Master!$Z$6,01_Lease_Master!$X$6)</f>
        <v>2342.38343253369</v>
      </c>
      <c r="J14" s="6" t="n">
        <f aca="false">MAX(0,H14-I14)</f>
        <v>231895.959820835</v>
      </c>
      <c r="K14" s="1" t="s">
        <v>162</v>
      </c>
    </row>
    <row r="15" customFormat="false" ht="15" hidden="false" customHeight="true" outlineLevel="0" collapsed="false">
      <c r="A15" s="1" t="s">
        <v>65</v>
      </c>
      <c r="B15" s="1" t="n">
        <v>10</v>
      </c>
      <c r="C15" s="7" t="n">
        <v>44958</v>
      </c>
      <c r="D15" s="6" t="n">
        <f aca="false">H14</f>
        <v>234238.343253369</v>
      </c>
      <c r="E15" s="6" t="n">
        <f aca="false">01_Lease_Master!$W$6</f>
        <v>0.06</v>
      </c>
      <c r="F15" s="6" t="n">
        <f aca="false">D15*((1+E15)^((C15-IF(B15=1,01_Lease_Master!$D$6,C14))/365)-1)</f>
        <v>1162.08734814309</v>
      </c>
      <c r="G15" s="1" t="n">
        <f aca="false">IF(C15=01_Lease_Master!$V$6,01_Lease_Master!$U$6,0)</f>
        <v>0</v>
      </c>
      <c r="H15" s="6" t="n">
        <f aca="false">MAX(0,D15+F15-G15)</f>
        <v>235400.430601512</v>
      </c>
      <c r="I15" s="6" t="n">
        <f aca="false">H15*IF(AND(01_Lease_Master!$Y$6&gt;0,01_Lease_Master!$Z$6&gt;0),01_Lease_Master!$Y$6*01_Lease_Master!$Z$6,01_Lease_Master!$X$6)</f>
        <v>2354.00430601512</v>
      </c>
      <c r="J15" s="6" t="n">
        <f aca="false">MAX(0,H15-I15)</f>
        <v>233046.426295497</v>
      </c>
      <c r="K15" s="1" t="s">
        <v>162</v>
      </c>
    </row>
    <row r="16" customFormat="false" ht="15" hidden="false" customHeight="true" outlineLevel="0" collapsed="false">
      <c r="A16" s="1" t="s">
        <v>65</v>
      </c>
      <c r="B16" s="1" t="n">
        <v>11</v>
      </c>
      <c r="C16" s="7" t="n">
        <v>44986</v>
      </c>
      <c r="D16" s="6" t="n">
        <f aca="false">H15</f>
        <v>235400.430601512</v>
      </c>
      <c r="E16" s="6" t="n">
        <f aca="false">01_Lease_Master!$W$6</f>
        <v>0.06</v>
      </c>
      <c r="F16" s="6" t="n">
        <f aca="false">D16*((1+E16)^((C16-IF(B16=1,01_Lease_Master!$D$6,C15))/365)-1)</f>
        <v>1054.58186172073</v>
      </c>
      <c r="G16" s="1" t="n">
        <f aca="false">IF(C16=01_Lease_Master!$V$6,01_Lease_Master!$U$6,0)</f>
        <v>0</v>
      </c>
      <c r="H16" s="6" t="n">
        <f aca="false">MAX(0,D16+F16-G16)</f>
        <v>236455.012463233</v>
      </c>
      <c r="I16" s="6" t="n">
        <f aca="false">H16*IF(AND(01_Lease_Master!$Y$6&gt;0,01_Lease_Master!$Z$6&gt;0),01_Lease_Master!$Y$6*01_Lease_Master!$Z$6,01_Lease_Master!$X$6)</f>
        <v>2364.55012463233</v>
      </c>
      <c r="J16" s="6" t="n">
        <f aca="false">MAX(0,H16-I16)</f>
        <v>234090.4623386</v>
      </c>
      <c r="K16" s="1" t="s">
        <v>162</v>
      </c>
    </row>
    <row r="17" customFormat="false" ht="15" hidden="false" customHeight="true" outlineLevel="0" collapsed="false">
      <c r="A17" s="1" t="s">
        <v>65</v>
      </c>
      <c r="B17" s="1" t="n">
        <v>12</v>
      </c>
      <c r="C17" s="7" t="n">
        <v>45017</v>
      </c>
      <c r="D17" s="6" t="n">
        <f aca="false">H16</f>
        <v>236455.012463233</v>
      </c>
      <c r="E17" s="6" t="n">
        <f aca="false">01_Lease_Master!$W$6</f>
        <v>0.06</v>
      </c>
      <c r="F17" s="6" t="n">
        <f aca="false">D17*((1+E17)^((C17-IF(B17=1,01_Lease_Master!$D$6,C16))/365)-1)</f>
        <v>1173.08453676739</v>
      </c>
      <c r="G17" s="1" t="n">
        <f aca="false">IF(C17=01_Lease_Master!$V$6,01_Lease_Master!$U$6,0)</f>
        <v>0</v>
      </c>
      <c r="H17" s="6" t="n">
        <f aca="false">MAX(0,D17+F17-G17)</f>
        <v>237628.097</v>
      </c>
      <c r="I17" s="6" t="n">
        <f aca="false">H17*IF(AND(01_Lease_Master!$Y$6&gt;0,01_Lease_Master!$Z$6&gt;0),01_Lease_Master!$Y$6*01_Lease_Master!$Z$6,01_Lease_Master!$X$6)</f>
        <v>2376.28097</v>
      </c>
      <c r="J17" s="6" t="n">
        <f aca="false">MAX(0,H17-I17)</f>
        <v>235251.81603</v>
      </c>
      <c r="K17" s="1" t="s">
        <v>162</v>
      </c>
    </row>
    <row r="18" customFormat="false" ht="15" hidden="false" customHeight="true" outlineLevel="0" collapsed="false">
      <c r="A18" s="1" t="s">
        <v>65</v>
      </c>
      <c r="B18" s="1" t="n">
        <v>13</v>
      </c>
      <c r="C18" s="7" t="n">
        <v>45047</v>
      </c>
      <c r="D18" s="6" t="n">
        <f aca="false">H17</f>
        <v>237628.097</v>
      </c>
      <c r="E18" s="6" t="n">
        <f aca="false">01_Lease_Master!$W$6</f>
        <v>0.06</v>
      </c>
      <c r="F18" s="6" t="n">
        <f aca="false">D18*((1+E18)^((C18-IF(B18=1,01_Lease_Master!$D$6,C17))/365)-1)</f>
        <v>1140.7840556079</v>
      </c>
      <c r="G18" s="1" t="n">
        <f aca="false">IF(C18=01_Lease_Master!$V$6,01_Lease_Master!$U$6,0)</f>
        <v>0</v>
      </c>
      <c r="H18" s="6" t="n">
        <f aca="false">MAX(0,D18+F18-G18)</f>
        <v>238768.881055608</v>
      </c>
      <c r="I18" s="6" t="n">
        <f aca="false">H18*IF(AND(01_Lease_Master!$Y$6&gt;0,01_Lease_Master!$Z$6&gt;0),01_Lease_Master!$Y$6*01_Lease_Master!$Z$6,01_Lease_Master!$X$6)</f>
        <v>2387.68881055608</v>
      </c>
      <c r="J18" s="6" t="n">
        <f aca="false">MAX(0,H18-I18)</f>
        <v>236381.192245052</v>
      </c>
      <c r="K18" s="1" t="s">
        <v>162</v>
      </c>
    </row>
    <row r="19" customFormat="false" ht="15" hidden="false" customHeight="true" outlineLevel="0" collapsed="false">
      <c r="A19" s="1" t="s">
        <v>65</v>
      </c>
      <c r="B19" s="1" t="n">
        <v>14</v>
      </c>
      <c r="C19" s="7" t="n">
        <v>45078</v>
      </c>
      <c r="D19" s="6" t="n">
        <f aca="false">H18</f>
        <v>238768.881055608</v>
      </c>
      <c r="E19" s="6" t="n">
        <f aca="false">01_Lease_Master!$W$6</f>
        <v>0.06</v>
      </c>
      <c r="F19" s="6" t="n">
        <f aca="false">D19*((1+E19)^((C19-IF(B19=1,01_Lease_Master!$D$6,C18))/365)-1)</f>
        <v>1184.56394436189</v>
      </c>
      <c r="G19" s="1" t="n">
        <f aca="false">IF(C19=01_Lease_Master!$V$6,01_Lease_Master!$U$6,0)</f>
        <v>0</v>
      </c>
      <c r="H19" s="6" t="n">
        <f aca="false">MAX(0,D19+F19-G19)</f>
        <v>239953.44499997</v>
      </c>
      <c r="I19" s="6" t="n">
        <f aca="false">H19*IF(AND(01_Lease_Master!$Y$6&gt;0,01_Lease_Master!$Z$6&gt;0),01_Lease_Master!$Y$6*01_Lease_Master!$Z$6,01_Lease_Master!$X$6)</f>
        <v>2399.5344499997</v>
      </c>
      <c r="J19" s="6" t="n">
        <f aca="false">MAX(0,H19-I19)</f>
        <v>237553.91054997</v>
      </c>
      <c r="K19" s="1" t="s">
        <v>162</v>
      </c>
    </row>
    <row r="20" customFormat="false" ht="15" hidden="false" customHeight="true" outlineLevel="0" collapsed="false">
      <c r="A20" s="1" t="s">
        <v>65</v>
      </c>
      <c r="B20" s="1" t="n">
        <v>15</v>
      </c>
      <c r="C20" s="7" t="n">
        <v>45108</v>
      </c>
      <c r="D20" s="6" t="n">
        <f aca="false">H19</f>
        <v>239953.44499997</v>
      </c>
      <c r="E20" s="6" t="n">
        <f aca="false">01_Lease_Master!$W$6</f>
        <v>0.06</v>
      </c>
      <c r="F20" s="6" t="n">
        <f aca="false">D20*((1+E20)^((C20-IF(B20=1,01_Lease_Master!$D$6,C19))/365)-1)</f>
        <v>1151.94738164381</v>
      </c>
      <c r="G20" s="1" t="n">
        <f aca="false">IF(C20=01_Lease_Master!$V$6,01_Lease_Master!$U$6,0)</f>
        <v>0</v>
      </c>
      <c r="H20" s="6" t="n">
        <f aca="false">MAX(0,D20+F20-G20)</f>
        <v>241105.392381613</v>
      </c>
      <c r="I20" s="6" t="n">
        <f aca="false">H20*IF(AND(01_Lease_Master!$Y$6&gt;0,01_Lease_Master!$Z$6&gt;0),01_Lease_Master!$Y$6*01_Lease_Master!$Z$6,01_Lease_Master!$X$6)</f>
        <v>2411.05392381613</v>
      </c>
      <c r="J20" s="6" t="n">
        <f aca="false">MAX(0,H20-I20)</f>
        <v>238694.338457797</v>
      </c>
      <c r="K20" s="1" t="s">
        <v>162</v>
      </c>
    </row>
    <row r="21" customFormat="false" ht="15" hidden="false" customHeight="true" outlineLevel="0" collapsed="false">
      <c r="A21" s="1" t="s">
        <v>65</v>
      </c>
      <c r="B21" s="1" t="n">
        <v>16</v>
      </c>
      <c r="C21" s="7" t="n">
        <v>45139</v>
      </c>
      <c r="D21" s="6" t="n">
        <f aca="false">H20</f>
        <v>241105.392381613</v>
      </c>
      <c r="E21" s="6" t="n">
        <f aca="false">01_Lease_Master!$W$6</f>
        <v>0.06</v>
      </c>
      <c r="F21" s="6" t="n">
        <f aca="false">D21*((1+E21)^((C21-IF(B21=1,01_Lease_Master!$D$6,C20))/365)-1)</f>
        <v>1196.15568554752</v>
      </c>
      <c r="G21" s="1" t="n">
        <f aca="false">IF(C21=01_Lease_Master!$V$6,01_Lease_Master!$U$6,0)</f>
        <v>0</v>
      </c>
      <c r="H21" s="6" t="n">
        <f aca="false">MAX(0,D21+F21-G21)</f>
        <v>242301.548067161</v>
      </c>
      <c r="I21" s="6" t="n">
        <f aca="false">H21*IF(AND(01_Lease_Master!$Y$6&gt;0,01_Lease_Master!$Z$6&gt;0),01_Lease_Master!$Y$6*01_Lease_Master!$Z$6,01_Lease_Master!$X$6)</f>
        <v>2423.01548067161</v>
      </c>
      <c r="J21" s="6" t="n">
        <f aca="false">MAX(0,H21-I21)</f>
        <v>239878.532586489</v>
      </c>
      <c r="K21" s="1" t="s">
        <v>162</v>
      </c>
    </row>
    <row r="22" customFormat="false" ht="15" hidden="false" customHeight="true" outlineLevel="0" collapsed="false">
      <c r="A22" s="1" t="s">
        <v>65</v>
      </c>
      <c r="B22" s="1" t="n">
        <v>17</v>
      </c>
      <c r="C22" s="7" t="n">
        <v>45170</v>
      </c>
      <c r="D22" s="6" t="n">
        <f aca="false">H21</f>
        <v>242301.548067161</v>
      </c>
      <c r="E22" s="6" t="n">
        <f aca="false">01_Lease_Master!$W$6</f>
        <v>0.06</v>
      </c>
      <c r="F22" s="6" t="n">
        <f aca="false">D22*((1+E22)^((C22-IF(B22=1,01_Lease_Master!$D$6,C21))/365)-1)</f>
        <v>1202.08997183591</v>
      </c>
      <c r="G22" s="1" t="n">
        <f aca="false">IF(C22=01_Lease_Master!$V$6,01_Lease_Master!$U$6,0)</f>
        <v>0</v>
      </c>
      <c r="H22" s="6" t="n">
        <f aca="false">MAX(0,D22+F22-G22)</f>
        <v>243503.638038997</v>
      </c>
      <c r="I22" s="6" t="n">
        <f aca="false">H22*IF(AND(01_Lease_Master!$Y$6&gt;0,01_Lease_Master!$Z$6&gt;0),01_Lease_Master!$Y$6*01_Lease_Master!$Z$6,01_Lease_Master!$X$6)</f>
        <v>2435.03638038997</v>
      </c>
      <c r="J22" s="6" t="n">
        <f aca="false">MAX(0,H22-I22)</f>
        <v>241068.601658607</v>
      </c>
      <c r="K22" s="1" t="s">
        <v>162</v>
      </c>
    </row>
    <row r="23" customFormat="false" ht="15" hidden="false" customHeight="true" outlineLevel="0" collapsed="false">
      <c r="A23" s="1" t="s">
        <v>65</v>
      </c>
      <c r="B23" s="1" t="n">
        <v>18</v>
      </c>
      <c r="C23" s="7" t="n">
        <v>45200</v>
      </c>
      <c r="D23" s="6" t="n">
        <f aca="false">H22</f>
        <v>243503.638038997</v>
      </c>
      <c r="E23" s="6" t="n">
        <f aca="false">01_Lease_Master!$W$6</f>
        <v>0.06</v>
      </c>
      <c r="F23" s="6" t="n">
        <f aca="false">D23*((1+E23)^((C23-IF(B23=1,01_Lease_Master!$D$6,C22))/365)-1)</f>
        <v>1168.9908359507</v>
      </c>
      <c r="G23" s="1" t="n">
        <f aca="false">IF(C23=01_Lease_Master!$V$6,01_Lease_Master!$U$6,0)</f>
        <v>0</v>
      </c>
      <c r="H23" s="6" t="n">
        <f aca="false">MAX(0,D23+F23-G23)</f>
        <v>244672.628874948</v>
      </c>
      <c r="I23" s="6" t="n">
        <f aca="false">H23*IF(AND(01_Lease_Master!$Y$6&gt;0,01_Lease_Master!$Z$6&gt;0),01_Lease_Master!$Y$6*01_Lease_Master!$Z$6,01_Lease_Master!$X$6)</f>
        <v>2446.72628874948</v>
      </c>
      <c r="J23" s="6" t="n">
        <f aca="false">MAX(0,H23-I23)</f>
        <v>242225.902586198</v>
      </c>
      <c r="K23" s="1" t="s">
        <v>162</v>
      </c>
    </row>
    <row r="24" customFormat="false" ht="15" hidden="false" customHeight="true" outlineLevel="0" collapsed="false">
      <c r="A24" s="1" t="s">
        <v>65</v>
      </c>
      <c r="B24" s="1" t="n">
        <v>19</v>
      </c>
      <c r="C24" s="7" t="n">
        <v>45231</v>
      </c>
      <c r="D24" s="6" t="n">
        <f aca="false">H23</f>
        <v>244672.628874948</v>
      </c>
      <c r="E24" s="6" t="n">
        <f aca="false">01_Lease_Master!$W$6</f>
        <v>0.06</v>
      </c>
      <c r="F24" s="6" t="n">
        <f aca="false">D24*((1+E24)^((C24-IF(B24=1,01_Lease_Master!$D$6,C23))/365)-1)</f>
        <v>1213.85321678498</v>
      </c>
      <c r="G24" s="1" t="n">
        <f aca="false">IF(C24=01_Lease_Master!$V$6,01_Lease_Master!$U$6,0)</f>
        <v>0</v>
      </c>
      <c r="H24" s="6" t="n">
        <f aca="false">MAX(0,D24+F24-G24)</f>
        <v>245886.482091733</v>
      </c>
      <c r="I24" s="6" t="n">
        <f aca="false">H24*IF(AND(01_Lease_Master!$Y$6&gt;0,01_Lease_Master!$Z$6&gt;0),01_Lease_Master!$Y$6*01_Lease_Master!$Z$6,01_Lease_Master!$X$6)</f>
        <v>2458.86482091733</v>
      </c>
      <c r="J24" s="6" t="n">
        <f aca="false">MAX(0,H24-I24)</f>
        <v>243427.617270815</v>
      </c>
      <c r="K24" s="1" t="s">
        <v>162</v>
      </c>
    </row>
    <row r="25" customFormat="false" ht="15" hidden="false" customHeight="true" outlineLevel="0" collapsed="false">
      <c r="A25" s="1" t="s">
        <v>65</v>
      </c>
      <c r="B25" s="1" t="n">
        <v>20</v>
      </c>
      <c r="C25" s="7" t="n">
        <v>45261</v>
      </c>
      <c r="D25" s="6" t="n">
        <f aca="false">H24</f>
        <v>245886.482091733</v>
      </c>
      <c r="E25" s="6" t="n">
        <f aca="false">01_Lease_Master!$W$6</f>
        <v>0.06</v>
      </c>
      <c r="F25" s="6" t="n">
        <f aca="false">D25*((1+E25)^((C25-IF(B25=1,01_Lease_Master!$D$6,C24))/365)-1)</f>
        <v>1180.43018397679</v>
      </c>
      <c r="G25" s="1" t="n">
        <f aca="false">IF(C25=01_Lease_Master!$V$6,01_Lease_Master!$U$6,0)</f>
        <v>0</v>
      </c>
      <c r="H25" s="6" t="n">
        <f aca="false">MAX(0,D25+F25-G25)</f>
        <v>247066.912275709</v>
      </c>
      <c r="I25" s="6" t="n">
        <f aca="false">H25*IF(AND(01_Lease_Master!$Y$6&gt;0,01_Lease_Master!$Z$6&gt;0),01_Lease_Master!$Y$6*01_Lease_Master!$Z$6,01_Lease_Master!$X$6)</f>
        <v>2470.66912275709</v>
      </c>
      <c r="J25" s="6" t="n">
        <f aca="false">MAX(0,H25-I25)</f>
        <v>244596.243152952</v>
      </c>
      <c r="K25" s="1" t="s">
        <v>162</v>
      </c>
    </row>
    <row r="26" customFormat="false" ht="15" hidden="false" customHeight="true" outlineLevel="0" collapsed="false">
      <c r="A26" s="1" t="s">
        <v>65</v>
      </c>
      <c r="B26" s="1" t="n">
        <v>21</v>
      </c>
      <c r="C26" s="7" t="n">
        <v>45292</v>
      </c>
      <c r="D26" s="6" t="n">
        <f aca="false">H25</f>
        <v>247066.912275709</v>
      </c>
      <c r="E26" s="6" t="n">
        <f aca="false">01_Lease_Master!$W$6</f>
        <v>0.06</v>
      </c>
      <c r="F26" s="6" t="n">
        <f aca="false">D26*((1+E26)^((C26-IF(B26=1,01_Lease_Master!$D$6,C25))/365)-1)</f>
        <v>1225.73157286131</v>
      </c>
      <c r="G26" s="1" t="n">
        <f aca="false">IF(C26=01_Lease_Master!$V$6,01_Lease_Master!$U$6,0)</f>
        <v>0</v>
      </c>
      <c r="H26" s="6" t="n">
        <f aca="false">MAX(0,D26+F26-G26)</f>
        <v>248292.643848571</v>
      </c>
      <c r="I26" s="6" t="n">
        <f aca="false">H26*IF(AND(01_Lease_Master!$Y$6&gt;0,01_Lease_Master!$Z$6&gt;0),01_Lease_Master!$Y$6*01_Lease_Master!$Z$6,01_Lease_Master!$X$6)</f>
        <v>2482.92643848571</v>
      </c>
      <c r="J26" s="6" t="n">
        <f aca="false">MAX(0,H26-I26)</f>
        <v>245809.717410085</v>
      </c>
      <c r="K26" s="1" t="s">
        <v>162</v>
      </c>
    </row>
    <row r="27" customFormat="false" ht="15" hidden="false" customHeight="true" outlineLevel="0" collapsed="false">
      <c r="A27" s="1" t="s">
        <v>65</v>
      </c>
      <c r="B27" s="1" t="n">
        <v>22</v>
      </c>
      <c r="C27" s="7" t="n">
        <v>45323</v>
      </c>
      <c r="D27" s="6" t="n">
        <f aca="false">H26</f>
        <v>248292.643848571</v>
      </c>
      <c r="E27" s="6" t="n">
        <f aca="false">01_Lease_Master!$W$6</f>
        <v>0.06</v>
      </c>
      <c r="F27" s="6" t="n">
        <f aca="false">D27*((1+E27)^((C27-IF(B27=1,01_Lease_Master!$D$6,C26))/365)-1)</f>
        <v>1231.81258903167</v>
      </c>
      <c r="G27" s="1" t="n">
        <f aca="false">IF(C27=01_Lease_Master!$V$6,01_Lease_Master!$U$6,0)</f>
        <v>0</v>
      </c>
      <c r="H27" s="6" t="n">
        <f aca="false">MAX(0,D27+F27-G27)</f>
        <v>249524.456437602</v>
      </c>
      <c r="I27" s="6" t="n">
        <f aca="false">H27*IF(AND(01_Lease_Master!$Y$6&gt;0,01_Lease_Master!$Z$6&gt;0),01_Lease_Master!$Y$6*01_Lease_Master!$Z$6,01_Lease_Master!$X$6)</f>
        <v>2495.24456437602</v>
      </c>
      <c r="J27" s="6" t="n">
        <f aca="false">MAX(0,H27-I27)</f>
        <v>247029.211873226</v>
      </c>
      <c r="K27" s="1" t="s">
        <v>162</v>
      </c>
    </row>
    <row r="28" customFormat="false" ht="15" hidden="false" customHeight="true" outlineLevel="0" collapsed="false">
      <c r="A28" s="1" t="s">
        <v>65</v>
      </c>
      <c r="B28" s="1" t="n">
        <v>23</v>
      </c>
      <c r="C28" s="7" t="n">
        <v>45352</v>
      </c>
      <c r="D28" s="6" t="n">
        <f aca="false">H27</f>
        <v>249524.456437602</v>
      </c>
      <c r="E28" s="6" t="n">
        <f aca="false">01_Lease_Master!$W$6</f>
        <v>0.06</v>
      </c>
      <c r="F28" s="6" t="n">
        <f aca="false">D28*((1+E28)^((C28-IF(B28=1,01_Lease_Master!$D$6,C27))/365)-1)</f>
        <v>1157.87271789562</v>
      </c>
      <c r="G28" s="1" t="n">
        <f aca="false">IF(C28=01_Lease_Master!$V$6,01_Lease_Master!$U$6,0)</f>
        <v>0</v>
      </c>
      <c r="H28" s="6" t="n">
        <f aca="false">MAX(0,D28+F28-G28)</f>
        <v>250682.329155498</v>
      </c>
      <c r="I28" s="6" t="n">
        <f aca="false">H28*IF(AND(01_Lease_Master!$Y$6&gt;0,01_Lease_Master!$Z$6&gt;0),01_Lease_Master!$Y$6*01_Lease_Master!$Z$6,01_Lease_Master!$X$6)</f>
        <v>2506.82329155498</v>
      </c>
      <c r="J28" s="6" t="n">
        <f aca="false">MAX(0,H28-I28)</f>
        <v>248175.505863943</v>
      </c>
      <c r="K28" s="1" t="s">
        <v>162</v>
      </c>
    </row>
    <row r="29" customFormat="false" ht="15" hidden="false" customHeight="true" outlineLevel="0" collapsed="false">
      <c r="A29" s="1" t="s">
        <v>65</v>
      </c>
      <c r="B29" s="1" t="n">
        <v>24</v>
      </c>
      <c r="C29" s="7" t="n">
        <v>45383</v>
      </c>
      <c r="D29" s="6" t="n">
        <f aca="false">H28</f>
        <v>250682.329155498</v>
      </c>
      <c r="E29" s="6" t="n">
        <f aca="false">01_Lease_Master!$W$6</f>
        <v>0.06</v>
      </c>
      <c r="F29" s="6" t="n">
        <f aca="false">D29*((1+E29)^((C29-IF(B29=1,01_Lease_Master!$D$6,C28))/365)-1)</f>
        <v>1243.66813335739</v>
      </c>
      <c r="G29" s="1" t="n">
        <f aca="false">IF(C29=01_Lease_Master!$V$6,01_Lease_Master!$U$6,0)</f>
        <v>0</v>
      </c>
      <c r="H29" s="6" t="n">
        <f aca="false">MAX(0,D29+F29-G29)</f>
        <v>251925.997288855</v>
      </c>
      <c r="I29" s="6" t="n">
        <f aca="false">H29*IF(AND(01_Lease_Master!$Y$6&gt;0,01_Lease_Master!$Z$6&gt;0),01_Lease_Master!$Y$6*01_Lease_Master!$Z$6,01_Lease_Master!$X$6)</f>
        <v>2519.25997288855</v>
      </c>
      <c r="J29" s="6" t="n">
        <f aca="false">MAX(0,H29-I29)</f>
        <v>249406.737315967</v>
      </c>
      <c r="K29" s="1" t="s">
        <v>162</v>
      </c>
    </row>
    <row r="30" customFormat="false" ht="15" hidden="false" customHeight="true" outlineLevel="0" collapsed="false">
      <c r="A30" s="1" t="s">
        <v>65</v>
      </c>
      <c r="B30" s="1" t="n">
        <v>25</v>
      </c>
      <c r="C30" s="7" t="n">
        <v>45413</v>
      </c>
      <c r="D30" s="6" t="n">
        <f aca="false">H29</f>
        <v>251925.997288855</v>
      </c>
      <c r="E30" s="6" t="n">
        <f aca="false">01_Lease_Master!$W$6</f>
        <v>0.06</v>
      </c>
      <c r="F30" s="6" t="n">
        <f aca="false">D30*((1+E30)^((C30-IF(B30=1,01_Lease_Master!$D$6,C29))/365)-1)</f>
        <v>1209.42415702738</v>
      </c>
      <c r="G30" s="1" t="n">
        <f aca="false">IF(C30=01_Lease_Master!$V$6,01_Lease_Master!$U$6,0)</f>
        <v>0</v>
      </c>
      <c r="H30" s="6" t="n">
        <f aca="false">MAX(0,D30+F30-G30)</f>
        <v>253135.421445883</v>
      </c>
      <c r="I30" s="6" t="n">
        <f aca="false">H30*IF(AND(01_Lease_Master!$Y$6&gt;0,01_Lease_Master!$Z$6&gt;0),01_Lease_Master!$Y$6*01_Lease_Master!$Z$6,01_Lease_Master!$X$6)</f>
        <v>2531.35421445883</v>
      </c>
      <c r="J30" s="6" t="n">
        <f aca="false">MAX(0,H30-I30)</f>
        <v>250604.067231424</v>
      </c>
      <c r="K30" s="1" t="s">
        <v>162</v>
      </c>
    </row>
    <row r="31" customFormat="false" ht="15" hidden="false" customHeight="true" outlineLevel="0" collapsed="false">
      <c r="A31" s="1" t="s">
        <v>65</v>
      </c>
      <c r="B31" s="1" t="n">
        <v>26</v>
      </c>
      <c r="C31" s="7" t="n">
        <v>45444</v>
      </c>
      <c r="D31" s="6" t="n">
        <f aca="false">H30</f>
        <v>253135.421445883</v>
      </c>
      <c r="E31" s="6" t="n">
        <f aca="false">01_Lease_Master!$W$6</f>
        <v>0.06</v>
      </c>
      <c r="F31" s="6" t="n">
        <f aca="false">D31*((1+E31)^((C31-IF(B31=1,01_Lease_Master!$D$6,C30))/365)-1)</f>
        <v>1255.83824809988</v>
      </c>
      <c r="G31" s="1" t="n">
        <f aca="false">IF(C31=01_Lease_Master!$V$6,01_Lease_Master!$U$6,0)</f>
        <v>0</v>
      </c>
      <c r="H31" s="6" t="n">
        <f aca="false">MAX(0,D31+F31-G31)</f>
        <v>254391.259693983</v>
      </c>
      <c r="I31" s="6" t="n">
        <f aca="false">H31*IF(AND(01_Lease_Master!$Y$6&gt;0,01_Lease_Master!$Z$6&gt;0),01_Lease_Master!$Y$6*01_Lease_Master!$Z$6,01_Lease_Master!$X$6)</f>
        <v>2543.91259693983</v>
      </c>
      <c r="J31" s="6" t="n">
        <f aca="false">MAX(0,H31-I31)</f>
        <v>251847.347097043</v>
      </c>
      <c r="K31" s="1" t="s">
        <v>162</v>
      </c>
    </row>
    <row r="32" customFormat="false" ht="15" hidden="false" customHeight="true" outlineLevel="0" collapsed="false">
      <c r="A32" s="1" t="s">
        <v>65</v>
      </c>
      <c r="B32" s="1" t="n">
        <v>27</v>
      </c>
      <c r="C32" s="7" t="n">
        <v>45474</v>
      </c>
      <c r="D32" s="6" t="n">
        <f aca="false">H31</f>
        <v>254391.259693983</v>
      </c>
      <c r="E32" s="6" t="n">
        <f aca="false">01_Lease_Master!$W$6</f>
        <v>0.06</v>
      </c>
      <c r="F32" s="6" t="n">
        <f aca="false">D32*((1+E32)^((C32-IF(B32=1,01_Lease_Master!$D$6,C31))/365)-1)</f>
        <v>1221.2591718264</v>
      </c>
      <c r="G32" s="1" t="n">
        <f aca="false">IF(C32=01_Lease_Master!$V$6,01_Lease_Master!$U$6,0)</f>
        <v>0</v>
      </c>
      <c r="H32" s="6" t="n">
        <f aca="false">MAX(0,D32+F32-G32)</f>
        <v>255612.518865809</v>
      </c>
      <c r="I32" s="6" t="n">
        <f aca="false">H32*IF(AND(01_Lease_Master!$Y$6&gt;0,01_Lease_Master!$Z$6&gt;0),01_Lease_Master!$Y$6*01_Lease_Master!$Z$6,01_Lease_Master!$X$6)</f>
        <v>2556.12518865809</v>
      </c>
      <c r="J32" s="6" t="n">
        <f aca="false">MAX(0,H32-I32)</f>
        <v>253056.393677151</v>
      </c>
      <c r="K32" s="1" t="s">
        <v>162</v>
      </c>
    </row>
    <row r="33" customFormat="false" ht="15" hidden="false" customHeight="true" outlineLevel="0" collapsed="false">
      <c r="A33" s="1" t="s">
        <v>65</v>
      </c>
      <c r="B33" s="1" t="n">
        <v>28</v>
      </c>
      <c r="C33" s="7" t="n">
        <v>45505</v>
      </c>
      <c r="D33" s="6" t="n">
        <f aca="false">H32</f>
        <v>255612.518865809</v>
      </c>
      <c r="E33" s="6" t="n">
        <f aca="false">01_Lease_Master!$W$6</f>
        <v>0.06</v>
      </c>
      <c r="F33" s="6" t="n">
        <f aca="false">D33*((1+E33)^((C33-IF(B33=1,01_Lease_Master!$D$6,C32))/365)-1)</f>
        <v>1268.1274554595</v>
      </c>
      <c r="G33" s="1" t="n">
        <f aca="false">IF(C33=01_Lease_Master!$V$6,01_Lease_Master!$U$6,0)</f>
        <v>0</v>
      </c>
      <c r="H33" s="6" t="n">
        <f aca="false">MAX(0,D33+F33-G33)</f>
        <v>256880.646321269</v>
      </c>
      <c r="I33" s="6" t="n">
        <f aca="false">H33*IF(AND(01_Lease_Master!$Y$6&gt;0,01_Lease_Master!$Z$6&gt;0),01_Lease_Master!$Y$6*01_Lease_Master!$Z$6,01_Lease_Master!$X$6)</f>
        <v>2568.80646321269</v>
      </c>
      <c r="J33" s="6" t="n">
        <f aca="false">MAX(0,H33-I33)</f>
        <v>254311.839858056</v>
      </c>
      <c r="K33" s="1" t="s">
        <v>162</v>
      </c>
    </row>
    <row r="34" customFormat="false" ht="15" hidden="false" customHeight="true" outlineLevel="0" collapsed="false">
      <c r="A34" s="1" t="s">
        <v>65</v>
      </c>
      <c r="B34" s="1" t="n">
        <v>29</v>
      </c>
      <c r="C34" s="7" t="n">
        <v>45536</v>
      </c>
      <c r="D34" s="6" t="n">
        <f aca="false">H33</f>
        <v>256880.646321269</v>
      </c>
      <c r="E34" s="6" t="n">
        <f aca="false">01_Lease_Master!$W$6</f>
        <v>0.06</v>
      </c>
      <c r="F34" s="6" t="n">
        <f aca="false">D34*((1+E34)^((C34-IF(B34=1,01_Lease_Master!$D$6,C33))/365)-1)</f>
        <v>1274.41880320109</v>
      </c>
      <c r="G34" s="1" t="n">
        <f aca="false">IF(C34=01_Lease_Master!$V$6,01_Lease_Master!$U$6,0)</f>
        <v>0</v>
      </c>
      <c r="H34" s="6" t="n">
        <f aca="false">MAX(0,D34+F34-G34)</f>
        <v>258155.06512447</v>
      </c>
      <c r="I34" s="6" t="n">
        <f aca="false">H34*IF(AND(01_Lease_Master!$Y$6&gt;0,01_Lease_Master!$Z$6&gt;0),01_Lease_Master!$Y$6*01_Lease_Master!$Z$6,01_Lease_Master!$X$6)</f>
        <v>2581.5506512447</v>
      </c>
      <c r="J34" s="6" t="n">
        <f aca="false">MAX(0,H34-I34)</f>
        <v>255573.514473225</v>
      </c>
      <c r="K34" s="1" t="s">
        <v>162</v>
      </c>
    </row>
    <row r="35" customFormat="false" ht="15" hidden="false" customHeight="true" outlineLevel="0" collapsed="false">
      <c r="A35" s="1" t="s">
        <v>65</v>
      </c>
      <c r="B35" s="1" t="n">
        <v>30</v>
      </c>
      <c r="C35" s="7" t="n">
        <v>45566</v>
      </c>
      <c r="D35" s="6" t="n">
        <f aca="false">H34</f>
        <v>258155.06512447</v>
      </c>
      <c r="E35" s="6" t="n">
        <f aca="false">01_Lease_Master!$W$6</f>
        <v>0.06</v>
      </c>
      <c r="F35" s="6" t="n">
        <f aca="false">D35*((1+E35)^((C35-IF(B35=1,01_Lease_Master!$D$6,C34))/365)-1)</f>
        <v>1239.32811770324</v>
      </c>
      <c r="G35" s="1" t="n">
        <f aca="false">IF(C35=01_Lease_Master!$V$6,01_Lease_Master!$U$6,0)</f>
        <v>0</v>
      </c>
      <c r="H35" s="6" t="n">
        <f aca="false">MAX(0,D35+F35-G35)</f>
        <v>259394.393242173</v>
      </c>
      <c r="I35" s="6" t="n">
        <f aca="false">H35*IF(AND(01_Lease_Master!$Y$6&gt;0,01_Lease_Master!$Z$6&gt;0),01_Lease_Master!$Y$6*01_Lease_Master!$Z$6,01_Lease_Master!$X$6)</f>
        <v>2593.94393242173</v>
      </c>
      <c r="J35" s="6" t="n">
        <f aca="false">MAX(0,H35-I35)</f>
        <v>256800.449309751</v>
      </c>
      <c r="K35" s="1" t="s">
        <v>162</v>
      </c>
    </row>
    <row r="36" customFormat="false" ht="15" hidden="false" customHeight="true" outlineLevel="0" collapsed="false">
      <c r="A36" s="1" t="s">
        <v>65</v>
      </c>
      <c r="B36" s="1" t="n">
        <v>31</v>
      </c>
      <c r="C36" s="7" t="n">
        <v>45597</v>
      </c>
      <c r="D36" s="6" t="n">
        <f aca="false">H35</f>
        <v>259394.393242173</v>
      </c>
      <c r="E36" s="6" t="n">
        <f aca="false">01_Lease_Master!$W$6</f>
        <v>0.06</v>
      </c>
      <c r="F36" s="6" t="n">
        <f aca="false">D36*((1+E36)^((C36-IF(B36=1,01_Lease_Master!$D$6,C35))/365)-1)</f>
        <v>1286.88983357402</v>
      </c>
      <c r="G36" s="1" t="n">
        <f aca="false">IF(C36=01_Lease_Master!$V$6,01_Lease_Master!$U$6,0)</f>
        <v>0</v>
      </c>
      <c r="H36" s="6" t="n">
        <f aca="false">MAX(0,D36+F36-G36)</f>
        <v>260681.283075747</v>
      </c>
      <c r="I36" s="6" t="n">
        <f aca="false">H36*IF(AND(01_Lease_Master!$Y$6&gt;0,01_Lease_Master!$Z$6&gt;0),01_Lease_Master!$Y$6*01_Lease_Master!$Z$6,01_Lease_Master!$X$6)</f>
        <v>2606.81283075747</v>
      </c>
      <c r="J36" s="6" t="n">
        <f aca="false">MAX(0,H36-I36)</f>
        <v>258074.470244989</v>
      </c>
      <c r="K36" s="1" t="s">
        <v>162</v>
      </c>
    </row>
    <row r="37" customFormat="false" ht="15" hidden="false" customHeight="true" outlineLevel="0" collapsed="false">
      <c r="A37" s="1" t="s">
        <v>65</v>
      </c>
      <c r="B37" s="1" t="n">
        <v>32</v>
      </c>
      <c r="C37" s="7" t="n">
        <v>45627</v>
      </c>
      <c r="D37" s="6" t="n">
        <f aca="false">H36</f>
        <v>260681.283075747</v>
      </c>
      <c r="E37" s="6" t="n">
        <f aca="false">01_Lease_Master!$W$6</f>
        <v>0.06</v>
      </c>
      <c r="F37" s="6" t="n">
        <f aca="false">D37*((1+E37)^((C37-IF(B37=1,01_Lease_Master!$D$6,C36))/365)-1)</f>
        <v>1251.45576252383</v>
      </c>
      <c r="G37" s="1" t="n">
        <f aca="false">IF(C37=01_Lease_Master!$V$6,01_Lease_Master!$U$6,0)</f>
        <v>0</v>
      </c>
      <c r="H37" s="6" t="n">
        <f aca="false">MAX(0,D37+F37-G37)</f>
        <v>261932.738838271</v>
      </c>
      <c r="I37" s="6" t="n">
        <f aca="false">H37*IF(AND(01_Lease_Master!$Y$6&gt;0,01_Lease_Master!$Z$6&gt;0),01_Lease_Master!$Y$6*01_Lease_Master!$Z$6,01_Lease_Master!$X$6)</f>
        <v>2619.32738838271</v>
      </c>
      <c r="J37" s="6" t="n">
        <f aca="false">MAX(0,H37-I37)</f>
        <v>259313.411449888</v>
      </c>
      <c r="K37" s="1" t="s">
        <v>162</v>
      </c>
    </row>
    <row r="38" customFormat="false" ht="15" hidden="false" customHeight="true" outlineLevel="0" collapsed="false">
      <c r="A38" s="1" t="s">
        <v>65</v>
      </c>
      <c r="B38" s="1" t="n">
        <v>33</v>
      </c>
      <c r="C38" s="7" t="n">
        <v>45658</v>
      </c>
      <c r="D38" s="6" t="n">
        <f aca="false">H37</f>
        <v>261932.738838271</v>
      </c>
      <c r="E38" s="6" t="n">
        <f aca="false">01_Lease_Master!$W$6</f>
        <v>0.06</v>
      </c>
      <c r="F38" s="6" t="n">
        <f aca="false">D38*((1+E38)^((C38-IF(B38=1,01_Lease_Master!$D$6,C37))/365)-1)</f>
        <v>1299.48290122243</v>
      </c>
      <c r="G38" s="1" t="n">
        <f aca="false">IF(C38=01_Lease_Master!$V$6,01_Lease_Master!$U$6,0)</f>
        <v>0</v>
      </c>
      <c r="H38" s="6" t="n">
        <f aca="false">MAX(0,D38+F38-G38)</f>
        <v>263232.221739493</v>
      </c>
      <c r="I38" s="6" t="n">
        <f aca="false">H38*IF(AND(01_Lease_Master!$Y$6&gt;0,01_Lease_Master!$Z$6&gt;0),01_Lease_Master!$Y$6*01_Lease_Master!$Z$6,01_Lease_Master!$X$6)</f>
        <v>2632.32221739493</v>
      </c>
      <c r="J38" s="6" t="n">
        <f aca="false">MAX(0,H38-I38)</f>
        <v>260599.899522098</v>
      </c>
      <c r="K38" s="1" t="s">
        <v>162</v>
      </c>
    </row>
    <row r="39" customFormat="false" ht="15" hidden="false" customHeight="true" outlineLevel="0" collapsed="false">
      <c r="A39" s="1" t="s">
        <v>65</v>
      </c>
      <c r="B39" s="1" t="n">
        <v>34</v>
      </c>
      <c r="C39" s="7" t="n">
        <v>45689</v>
      </c>
      <c r="D39" s="6" t="n">
        <f aca="false">H38</f>
        <v>263232.221739493</v>
      </c>
      <c r="E39" s="6" t="n">
        <f aca="false">01_Lease_Master!$W$6</f>
        <v>0.06</v>
      </c>
      <c r="F39" s="6" t="n">
        <f aca="false">D39*((1+E39)^((C39-IF(B39=1,01_Lease_Master!$D$6,C38))/365)-1)</f>
        <v>1305.92980747042</v>
      </c>
      <c r="G39" s="1" t="n">
        <f aca="false">IF(C39=01_Lease_Master!$V$6,01_Lease_Master!$U$6,0)</f>
        <v>0</v>
      </c>
      <c r="H39" s="6" t="n">
        <f aca="false">MAX(0,D39+F39-G39)</f>
        <v>264538.151546964</v>
      </c>
      <c r="I39" s="6" t="n">
        <f aca="false">H39*IF(AND(01_Lease_Master!$Y$6&gt;0,01_Lease_Master!$Z$6&gt;0),01_Lease_Master!$Y$6*01_Lease_Master!$Z$6,01_Lease_Master!$X$6)</f>
        <v>2645.38151546964</v>
      </c>
      <c r="J39" s="6" t="n">
        <f aca="false">MAX(0,H39-I39)</f>
        <v>261892.770031494</v>
      </c>
      <c r="K39" s="1" t="s">
        <v>162</v>
      </c>
    </row>
    <row r="40" customFormat="false" ht="15" hidden="false" customHeight="true" outlineLevel="0" collapsed="false">
      <c r="A40" s="1" t="s">
        <v>65</v>
      </c>
      <c r="B40" s="1" t="n">
        <v>35</v>
      </c>
      <c r="C40" s="7" t="n">
        <v>45717</v>
      </c>
      <c r="D40" s="6" t="n">
        <f aca="false">H39</f>
        <v>264538.151546964</v>
      </c>
      <c r="E40" s="6" t="n">
        <f aca="false">01_Lease_Master!$W$6</f>
        <v>0.06</v>
      </c>
      <c r="F40" s="6" t="n">
        <f aca="false">D40*((1+E40)^((C40-IF(B40=1,01_Lease_Master!$D$6,C39))/365)-1)</f>
        <v>1185.11735786419</v>
      </c>
      <c r="G40" s="1" t="n">
        <f aca="false">IF(C40=01_Lease_Master!$V$6,01_Lease_Master!$U$6,0)</f>
        <v>0</v>
      </c>
      <c r="H40" s="6" t="n">
        <f aca="false">MAX(0,D40+F40-G40)</f>
        <v>265723.268904828</v>
      </c>
      <c r="I40" s="6" t="n">
        <f aca="false">H40*IF(AND(01_Lease_Master!$Y$6&gt;0,01_Lease_Master!$Z$6&gt;0),01_Lease_Master!$Y$6*01_Lease_Master!$Z$6,01_Lease_Master!$X$6)</f>
        <v>2657.23268904828</v>
      </c>
      <c r="J40" s="6" t="n">
        <f aca="false">MAX(0,H40-I40)</f>
        <v>263066.036215779</v>
      </c>
      <c r="K40" s="1" t="s">
        <v>162</v>
      </c>
    </row>
    <row r="41" customFormat="false" ht="15" hidden="false" customHeight="true" outlineLevel="0" collapsed="false">
      <c r="A41" s="1" t="s">
        <v>65</v>
      </c>
      <c r="B41" s="1" t="n">
        <v>36</v>
      </c>
      <c r="C41" s="7" t="n">
        <v>45748</v>
      </c>
      <c r="D41" s="6" t="n">
        <f aca="false">H40</f>
        <v>265723.268904828</v>
      </c>
      <c r="E41" s="6" t="n">
        <f aca="false">01_Lease_Master!$W$6</f>
        <v>0.06</v>
      </c>
      <c r="F41" s="6" t="n">
        <f aca="false">D41*((1+E41)^((C41-IF(B41=1,01_Lease_Master!$D$6,C40))/365)-1)</f>
        <v>1318.28822135884</v>
      </c>
      <c r="G41" s="1" t="n">
        <f aca="false">IF(C41=01_Lease_Master!$V$6,01_Lease_Master!$U$6,0)</f>
        <v>0</v>
      </c>
      <c r="H41" s="6" t="n">
        <f aca="false">MAX(0,D41+F41-G41)</f>
        <v>267041.557126187</v>
      </c>
      <c r="I41" s="6" t="n">
        <f aca="false">H41*IF(AND(01_Lease_Master!$Y$6&gt;0,01_Lease_Master!$Z$6&gt;0),01_Lease_Master!$Y$6*01_Lease_Master!$Z$6,01_Lease_Master!$X$6)</f>
        <v>2670.41557126187</v>
      </c>
      <c r="J41" s="6" t="n">
        <f aca="false">MAX(0,H41-I41)</f>
        <v>264371.141554925</v>
      </c>
      <c r="K41" s="1" t="s">
        <v>162</v>
      </c>
    </row>
    <row r="42" customFormat="false" ht="15" hidden="false" customHeight="true" outlineLevel="0" collapsed="false">
      <c r="A42" s="1" t="s">
        <v>65</v>
      </c>
      <c r="B42" s="1" t="n">
        <v>37</v>
      </c>
      <c r="C42" s="7" t="n">
        <v>45778</v>
      </c>
      <c r="D42" s="6" t="n">
        <f aca="false">H41</f>
        <v>267041.557126187</v>
      </c>
      <c r="E42" s="6" t="n">
        <f aca="false">01_Lease_Master!$W$6</f>
        <v>0.06</v>
      </c>
      <c r="F42" s="6" t="n">
        <f aca="false">D42*((1+E42)^((C42-IF(B42=1,01_Lease_Master!$D$6,C41))/365)-1)</f>
        <v>1281.98960644902</v>
      </c>
      <c r="G42" s="1" t="n">
        <f aca="false">IF(C42=01_Lease_Master!$V$6,01_Lease_Master!$U$6,0)</f>
        <v>0</v>
      </c>
      <c r="H42" s="6" t="n">
        <f aca="false">MAX(0,D42+F42-G42)</f>
        <v>268323.546732636</v>
      </c>
      <c r="I42" s="6" t="n">
        <f aca="false">H42*IF(AND(01_Lease_Master!$Y$6&gt;0,01_Lease_Master!$Z$6&gt;0),01_Lease_Master!$Y$6*01_Lease_Master!$Z$6,01_Lease_Master!$X$6)</f>
        <v>2683.23546732636</v>
      </c>
      <c r="J42" s="6" t="n">
        <f aca="false">MAX(0,H42-I42)</f>
        <v>265640.311265309</v>
      </c>
      <c r="K42" s="1" t="s">
        <v>162</v>
      </c>
    </row>
    <row r="43" customFormat="false" ht="15" hidden="false" customHeight="true" outlineLevel="0" collapsed="false">
      <c r="A43" s="1" t="s">
        <v>65</v>
      </c>
      <c r="B43" s="1" t="n">
        <v>38</v>
      </c>
      <c r="C43" s="7" t="n">
        <v>45809</v>
      </c>
      <c r="D43" s="6" t="n">
        <f aca="false">H42</f>
        <v>268323.546732636</v>
      </c>
      <c r="E43" s="6" t="n">
        <f aca="false">01_Lease_Master!$W$6</f>
        <v>0.06</v>
      </c>
      <c r="F43" s="6" t="n">
        <f aca="false">D43*((1+E43)^((C43-IF(B43=1,01_Lease_Master!$D$6,C42))/365)-1)</f>
        <v>1331.18854298587</v>
      </c>
      <c r="G43" s="1" t="n">
        <f aca="false">IF(C43=01_Lease_Master!$V$6,01_Lease_Master!$U$6,0)</f>
        <v>0</v>
      </c>
      <c r="H43" s="6" t="n">
        <f aca="false">MAX(0,D43+F43-G43)</f>
        <v>269654.735275621</v>
      </c>
      <c r="I43" s="6" t="n">
        <f aca="false">H43*IF(AND(01_Lease_Master!$Y$6&gt;0,01_Lease_Master!$Z$6&gt;0),01_Lease_Master!$Y$6*01_Lease_Master!$Z$6,01_Lease_Master!$X$6)</f>
        <v>2696.54735275622</v>
      </c>
      <c r="J43" s="6" t="n">
        <f aca="false">MAX(0,H43-I43)</f>
        <v>266958.187922865</v>
      </c>
      <c r="K43" s="1" t="s">
        <v>162</v>
      </c>
    </row>
    <row r="44" customFormat="false" ht="15" hidden="false" customHeight="true" outlineLevel="0" collapsed="false">
      <c r="A44" s="1" t="s">
        <v>65</v>
      </c>
      <c r="B44" s="1" t="n">
        <v>39</v>
      </c>
      <c r="C44" s="7" t="n">
        <v>45839</v>
      </c>
      <c r="D44" s="6" t="n">
        <f aca="false">H43</f>
        <v>269654.735275621</v>
      </c>
      <c r="E44" s="6" t="n">
        <f aca="false">01_Lease_Master!$W$6</f>
        <v>0.06</v>
      </c>
      <c r="F44" s="6" t="n">
        <f aca="false">D44*((1+E44)^((C44-IF(B44=1,01_Lease_Master!$D$6,C43))/365)-1)</f>
        <v>1294.53472213598</v>
      </c>
      <c r="G44" s="1" t="n">
        <f aca="false">IF(C44=01_Lease_Master!$V$6,01_Lease_Master!$U$6,0)</f>
        <v>0</v>
      </c>
      <c r="H44" s="6" t="n">
        <f aca="false">MAX(0,D44+F44-G44)</f>
        <v>270949.269997757</v>
      </c>
      <c r="I44" s="6" t="n">
        <f aca="false">H44*IF(AND(01_Lease_Master!$Y$6&gt;0,01_Lease_Master!$Z$6&gt;0),01_Lease_Master!$Y$6*01_Lease_Master!$Z$6,01_Lease_Master!$X$6)</f>
        <v>2709.49269997757</v>
      </c>
      <c r="J44" s="6" t="n">
        <f aca="false">MAX(0,H44-I44)</f>
        <v>268239.77729778</v>
      </c>
      <c r="K44" s="1" t="s">
        <v>162</v>
      </c>
    </row>
    <row r="45" customFormat="false" ht="15" hidden="false" customHeight="true" outlineLevel="0" collapsed="false">
      <c r="A45" s="1" t="s">
        <v>65</v>
      </c>
      <c r="B45" s="1" t="n">
        <v>40</v>
      </c>
      <c r="C45" s="7" t="n">
        <v>45870</v>
      </c>
      <c r="D45" s="6" t="n">
        <f aca="false">H44</f>
        <v>270949.269997757</v>
      </c>
      <c r="E45" s="6" t="n">
        <f aca="false">01_Lease_Master!$W$6</f>
        <v>0.06</v>
      </c>
      <c r="F45" s="6" t="n">
        <f aca="false">D45*((1+E45)^((C45-IF(B45=1,01_Lease_Master!$D$6,C44))/365)-1)</f>
        <v>1344.21510278707</v>
      </c>
      <c r="G45" s="1" t="n">
        <f aca="false">IF(C45=01_Lease_Master!$V$6,01_Lease_Master!$U$6,0)</f>
        <v>0</v>
      </c>
      <c r="H45" s="6" t="n">
        <f aca="false">MAX(0,D45+F45-G45)</f>
        <v>272293.485100545</v>
      </c>
      <c r="I45" s="6" t="n">
        <f aca="false">H45*IF(AND(01_Lease_Master!$Y$6&gt;0,01_Lease_Master!$Z$6&gt;0),01_Lease_Master!$Y$6*01_Lease_Master!$Z$6,01_Lease_Master!$X$6)</f>
        <v>2722.93485100545</v>
      </c>
      <c r="J45" s="6" t="n">
        <f aca="false">MAX(0,H45-I45)</f>
        <v>269570.550249539</v>
      </c>
      <c r="K45" s="1" t="s">
        <v>162</v>
      </c>
    </row>
    <row r="46" customFormat="false" ht="15" hidden="false" customHeight="true" outlineLevel="0" collapsed="false">
      <c r="A46" s="1" t="s">
        <v>65</v>
      </c>
      <c r="B46" s="1" t="n">
        <v>41</v>
      </c>
      <c r="C46" s="7" t="n">
        <v>45901</v>
      </c>
      <c r="D46" s="6" t="n">
        <f aca="false">H45</f>
        <v>272293.485100545</v>
      </c>
      <c r="E46" s="6" t="n">
        <f aca="false">01_Lease_Master!$W$6</f>
        <v>0.06</v>
      </c>
      <c r="F46" s="6" t="n">
        <f aca="false">D46*((1+E46)^((C46-IF(B46=1,01_Lease_Master!$D$6,C45))/365)-1)</f>
        <v>1350.88393139316</v>
      </c>
      <c r="G46" s="1" t="n">
        <f aca="false">IF(C46=01_Lease_Master!$V$6,01_Lease_Master!$U$6,0)</f>
        <v>0</v>
      </c>
      <c r="H46" s="6" t="n">
        <f aca="false">MAX(0,D46+F46-G46)</f>
        <v>273644.369031938</v>
      </c>
      <c r="I46" s="6" t="n">
        <f aca="false">H46*IF(AND(01_Lease_Master!$Y$6&gt;0,01_Lease_Master!$Z$6&gt;0),01_Lease_Master!$Y$6*01_Lease_Master!$Z$6,01_Lease_Master!$X$6)</f>
        <v>2736.44369031938</v>
      </c>
      <c r="J46" s="6" t="n">
        <f aca="false">MAX(0,H46-I46)</f>
        <v>270907.925341618</v>
      </c>
      <c r="K46" s="1" t="s">
        <v>162</v>
      </c>
    </row>
    <row r="47" customFormat="false" ht="15" hidden="false" customHeight="true" outlineLevel="0" collapsed="false">
      <c r="A47" s="1" t="s">
        <v>65</v>
      </c>
      <c r="B47" s="1" t="n">
        <v>42</v>
      </c>
      <c r="C47" s="7" t="n">
        <v>45931</v>
      </c>
      <c r="D47" s="6" t="n">
        <f aca="false">H46</f>
        <v>273644.369031938</v>
      </c>
      <c r="E47" s="6" t="n">
        <f aca="false">01_Lease_Master!$W$6</f>
        <v>0.06</v>
      </c>
      <c r="F47" s="6" t="n">
        <f aca="false">D47*((1+E47)^((C47-IF(B47=1,01_Lease_Master!$D$6,C46))/365)-1)</f>
        <v>1313.68780476544</v>
      </c>
      <c r="G47" s="1" t="n">
        <f aca="false">IF(C47=01_Lease_Master!$V$6,01_Lease_Master!$U$6,0)</f>
        <v>0</v>
      </c>
      <c r="H47" s="6" t="n">
        <f aca="false">MAX(0,D47+F47-G47)</f>
        <v>274958.056836703</v>
      </c>
      <c r="I47" s="6" t="n">
        <f aca="false">H47*IF(AND(01_Lease_Master!$Y$6&gt;0,01_Lease_Master!$Z$6&gt;0),01_Lease_Master!$Y$6*01_Lease_Master!$Z$6,01_Lease_Master!$X$6)</f>
        <v>2749.58056836703</v>
      </c>
      <c r="J47" s="6" t="n">
        <f aca="false">MAX(0,H47-I47)</f>
        <v>272208.476268336</v>
      </c>
      <c r="K47" s="1" t="s">
        <v>162</v>
      </c>
    </row>
    <row r="48" customFormat="false" ht="15" hidden="false" customHeight="true" outlineLevel="0" collapsed="false">
      <c r="A48" s="1" t="s">
        <v>65</v>
      </c>
      <c r="B48" s="1" t="n">
        <v>43</v>
      </c>
      <c r="C48" s="7" t="n">
        <v>45962</v>
      </c>
      <c r="D48" s="6" t="n">
        <f aca="false">H47</f>
        <v>274958.056836703</v>
      </c>
      <c r="E48" s="6" t="n">
        <f aca="false">01_Lease_Master!$W$6</f>
        <v>0.06</v>
      </c>
      <c r="F48" s="6" t="n">
        <f aca="false">D48*((1+E48)^((C48-IF(B48=1,01_Lease_Master!$D$6,C47))/365)-1)</f>
        <v>1364.10322358846</v>
      </c>
      <c r="G48" s="1" t="n">
        <f aca="false">IF(C48=01_Lease_Master!$V$6,01_Lease_Master!$U$6,0)</f>
        <v>0</v>
      </c>
      <c r="H48" s="6" t="n">
        <f aca="false">MAX(0,D48+F48-G48)</f>
        <v>276322.160060292</v>
      </c>
      <c r="I48" s="6" t="n">
        <f aca="false">H48*IF(AND(01_Lease_Master!$Y$6&gt;0,01_Lease_Master!$Z$6&gt;0),01_Lease_Master!$Y$6*01_Lease_Master!$Z$6,01_Lease_Master!$X$6)</f>
        <v>2763.22160060292</v>
      </c>
      <c r="J48" s="6" t="n">
        <f aca="false">MAX(0,H48-I48)</f>
        <v>273558.938459689</v>
      </c>
      <c r="K48" s="1" t="s">
        <v>162</v>
      </c>
    </row>
    <row r="49" customFormat="false" ht="15" hidden="false" customHeight="true" outlineLevel="0" collapsed="false">
      <c r="A49" s="1" t="s">
        <v>65</v>
      </c>
      <c r="B49" s="1" t="n">
        <v>44</v>
      </c>
      <c r="C49" s="7" t="n">
        <v>45992</v>
      </c>
      <c r="D49" s="6" t="n">
        <f aca="false">H48</f>
        <v>276322.160060292</v>
      </c>
      <c r="E49" s="6" t="n">
        <f aca="false">01_Lease_Master!$W$6</f>
        <v>0.06</v>
      </c>
      <c r="F49" s="6" t="n">
        <f aca="false">D49*((1+E49)^((C49-IF(B49=1,01_Lease_Master!$D$6,C48))/365)-1)</f>
        <v>1326.54310827526</v>
      </c>
      <c r="G49" s="1" t="n">
        <f aca="false">IF(C49=01_Lease_Master!$V$6,01_Lease_Master!$U$6,0)</f>
        <v>0</v>
      </c>
      <c r="H49" s="6" t="n">
        <f aca="false">MAX(0,D49+F49-G49)</f>
        <v>277648.703168567</v>
      </c>
      <c r="I49" s="6" t="n">
        <f aca="false">H49*IF(AND(01_Lease_Master!$Y$6&gt;0,01_Lease_Master!$Z$6&gt;0),01_Lease_Master!$Y$6*01_Lease_Master!$Z$6,01_Lease_Master!$X$6)</f>
        <v>2776.48703168567</v>
      </c>
      <c r="J49" s="6" t="n">
        <f aca="false">MAX(0,H49-I49)</f>
        <v>274872.216136881</v>
      </c>
      <c r="K49" s="1" t="s">
        <v>162</v>
      </c>
    </row>
    <row r="50" customFormat="false" ht="15" hidden="false" customHeight="true" outlineLevel="0" collapsed="false">
      <c r="A50" s="1" t="s">
        <v>65</v>
      </c>
      <c r="B50" s="1" t="n">
        <v>45</v>
      </c>
      <c r="C50" s="7" t="n">
        <v>46023</v>
      </c>
      <c r="D50" s="6" t="n">
        <f aca="false">H49</f>
        <v>277648.703168567</v>
      </c>
      <c r="E50" s="6" t="n">
        <f aca="false">01_Lease_Master!$W$6</f>
        <v>0.06</v>
      </c>
      <c r="F50" s="6" t="n">
        <f aca="false">D50*((1+E50)^((C50-IF(B50=1,01_Lease_Master!$D$6,C49))/365)-1)</f>
        <v>1377.45187529577</v>
      </c>
      <c r="G50" s="1" t="n">
        <f aca="false">IF(C50=01_Lease_Master!$V$6,01_Lease_Master!$U$6,0)</f>
        <v>0</v>
      </c>
      <c r="H50" s="6" t="n">
        <f aca="false">MAX(0,D50+F50-G50)</f>
        <v>279026.155043863</v>
      </c>
      <c r="I50" s="6" t="n">
        <f aca="false">H50*IF(AND(01_Lease_Master!$Y$6&gt;0,01_Lease_Master!$Z$6&gt;0),01_Lease_Master!$Y$6*01_Lease_Master!$Z$6,01_Lease_Master!$X$6)</f>
        <v>2790.26155043863</v>
      </c>
      <c r="J50" s="6" t="n">
        <f aca="false">MAX(0,H50-I50)</f>
        <v>276235.893493424</v>
      </c>
      <c r="K50" s="1" t="s">
        <v>162</v>
      </c>
    </row>
    <row r="51" customFormat="false" ht="15" hidden="false" customHeight="true" outlineLevel="0" collapsed="false">
      <c r="A51" s="1" t="s">
        <v>65</v>
      </c>
      <c r="B51" s="1" t="n">
        <v>46</v>
      </c>
      <c r="C51" s="7" t="n">
        <v>46054</v>
      </c>
      <c r="D51" s="6" t="n">
        <f aca="false">H50</f>
        <v>279026.155043863</v>
      </c>
      <c r="E51" s="6" t="n">
        <f aca="false">01_Lease_Master!$W$6</f>
        <v>0.06</v>
      </c>
      <c r="F51" s="6" t="n">
        <f aca="false">D51*((1+E51)^((C51-IF(B51=1,01_Lease_Master!$D$6,C50))/365)-1)</f>
        <v>1384.28559591864</v>
      </c>
      <c r="G51" s="1" t="n">
        <f aca="false">IF(C51=01_Lease_Master!$V$6,01_Lease_Master!$U$6,0)</f>
        <v>0</v>
      </c>
      <c r="H51" s="6" t="n">
        <f aca="false">MAX(0,D51+F51-G51)</f>
        <v>280410.440639781</v>
      </c>
      <c r="I51" s="6" t="n">
        <f aca="false">H51*IF(AND(01_Lease_Master!$Y$6&gt;0,01_Lease_Master!$Z$6&gt;0),01_Lease_Master!$Y$6*01_Lease_Master!$Z$6,01_Lease_Master!$X$6)</f>
        <v>2804.10440639781</v>
      </c>
      <c r="J51" s="6" t="n">
        <f aca="false">MAX(0,H51-I51)</f>
        <v>277606.336233383</v>
      </c>
      <c r="K51" s="1" t="s">
        <v>162</v>
      </c>
    </row>
    <row r="52" customFormat="false" ht="15" hidden="false" customHeight="true" outlineLevel="0" collapsed="false">
      <c r="A52" s="1" t="s">
        <v>65</v>
      </c>
      <c r="B52" s="1" t="n">
        <v>47</v>
      </c>
      <c r="C52" s="7" t="n">
        <v>46082</v>
      </c>
      <c r="D52" s="6" t="n">
        <f aca="false">H51</f>
        <v>280410.440639781</v>
      </c>
      <c r="E52" s="6" t="n">
        <f aca="false">01_Lease_Master!$W$6</f>
        <v>0.06</v>
      </c>
      <c r="F52" s="6" t="n">
        <f aca="false">D52*((1+E52)^((C52-IF(B52=1,01_Lease_Master!$D$6,C51))/365)-1)</f>
        <v>1256.22439933605</v>
      </c>
      <c r="G52" s="1" t="n">
        <f aca="false">IF(C52=01_Lease_Master!$V$6,01_Lease_Master!$U$6,0)</f>
        <v>0</v>
      </c>
      <c r="H52" s="6" t="n">
        <f aca="false">MAX(0,D52+F52-G52)</f>
        <v>281666.665039117</v>
      </c>
      <c r="I52" s="6" t="n">
        <f aca="false">H52*IF(AND(01_Lease_Master!$Y$6&gt;0,01_Lease_Master!$Z$6&gt;0),01_Lease_Master!$Y$6*01_Lease_Master!$Z$6,01_Lease_Master!$X$6)</f>
        <v>2816.66665039117</v>
      </c>
      <c r="J52" s="6" t="n">
        <f aca="false">MAX(0,H52-I52)</f>
        <v>278849.998388726</v>
      </c>
      <c r="K52" s="1" t="s">
        <v>162</v>
      </c>
    </row>
    <row r="53" customFormat="false" ht="15" hidden="false" customHeight="true" outlineLevel="0" collapsed="false">
      <c r="A53" s="1" t="s">
        <v>65</v>
      </c>
      <c r="B53" s="1" t="n">
        <v>48</v>
      </c>
      <c r="C53" s="7" t="n">
        <v>46113</v>
      </c>
      <c r="D53" s="6" t="n">
        <f aca="false">H52</f>
        <v>281666.665039117</v>
      </c>
      <c r="E53" s="6" t="n">
        <f aca="false">01_Lease_Master!$W$6</f>
        <v>0.06</v>
      </c>
      <c r="F53" s="6" t="n">
        <f aca="false">D53*((1+E53)^((C53-IF(B53=1,01_Lease_Master!$D$6,C52))/365)-1)</f>
        <v>1397.38551464037</v>
      </c>
      <c r="G53" s="1" t="n">
        <f aca="false">IF(C53=01_Lease_Master!$V$6,01_Lease_Master!$U$6,0)</f>
        <v>0</v>
      </c>
      <c r="H53" s="6" t="n">
        <f aca="false">MAX(0,D53+F53-G53)</f>
        <v>283064.050553758</v>
      </c>
      <c r="I53" s="6" t="n">
        <f aca="false">H53*IF(AND(01_Lease_Master!$Y$6&gt;0,01_Lease_Master!$Z$6&gt;0),01_Lease_Master!$Y$6*01_Lease_Master!$Z$6,01_Lease_Master!$X$6)</f>
        <v>2830.64050553758</v>
      </c>
      <c r="J53" s="6" t="n">
        <f aca="false">MAX(0,H53-I53)</f>
        <v>280233.41004822</v>
      </c>
      <c r="K53" s="1" t="s">
        <v>162</v>
      </c>
    </row>
    <row r="54" customFormat="false" ht="15" hidden="false" customHeight="true" outlineLevel="0" collapsed="false">
      <c r="A54" s="1" t="s">
        <v>65</v>
      </c>
      <c r="B54" s="1" t="n">
        <v>49</v>
      </c>
      <c r="C54" s="7" t="n">
        <v>46143</v>
      </c>
      <c r="D54" s="6" t="n">
        <f aca="false">H53</f>
        <v>283064.050553758</v>
      </c>
      <c r="E54" s="6" t="n">
        <f aca="false">01_Lease_Master!$W$6</f>
        <v>0.06</v>
      </c>
      <c r="F54" s="6" t="n">
        <f aca="false">D54*((1+E54)^((C54-IF(B54=1,01_Lease_Master!$D$6,C53))/365)-1)</f>
        <v>1358.90898283596</v>
      </c>
      <c r="G54" s="1" t="n">
        <f aca="false">IF(C54=01_Lease_Master!$V$6,01_Lease_Master!$U$6,0)</f>
        <v>0</v>
      </c>
      <c r="H54" s="6" t="n">
        <f aca="false">MAX(0,D54+F54-G54)</f>
        <v>284422.959536594</v>
      </c>
      <c r="I54" s="6" t="n">
        <f aca="false">H54*IF(AND(01_Lease_Master!$Y$6&gt;0,01_Lease_Master!$Z$6&gt;0),01_Lease_Master!$Y$6*01_Lease_Master!$Z$6,01_Lease_Master!$X$6)</f>
        <v>2844.22959536594</v>
      </c>
      <c r="J54" s="6" t="n">
        <f aca="false">MAX(0,H54-I54)</f>
        <v>281578.729941228</v>
      </c>
      <c r="K54" s="1" t="s">
        <v>162</v>
      </c>
    </row>
    <row r="55" customFormat="false" ht="15" hidden="false" customHeight="true" outlineLevel="0" collapsed="false">
      <c r="A55" s="1" t="s">
        <v>65</v>
      </c>
      <c r="B55" s="1" t="n">
        <v>50</v>
      </c>
      <c r="C55" s="7" t="n">
        <v>46174</v>
      </c>
      <c r="D55" s="6" t="n">
        <f aca="false">H54</f>
        <v>284422.959536594</v>
      </c>
      <c r="E55" s="6" t="n">
        <f aca="false">01_Lease_Master!$W$6</f>
        <v>0.06</v>
      </c>
      <c r="F55" s="6" t="n">
        <f aca="false">D55*((1+E55)^((C55-IF(B55=1,01_Lease_Master!$D$6,C54))/365)-1)</f>
        <v>1411.05985556502</v>
      </c>
      <c r="G55" s="1" t="n">
        <f aca="false">IF(C55=01_Lease_Master!$V$6,01_Lease_Master!$U$6,0)</f>
        <v>0</v>
      </c>
      <c r="H55" s="6" t="n">
        <f aca="false">MAX(0,D55+F55-G55)</f>
        <v>285834.019392159</v>
      </c>
      <c r="I55" s="6" t="n">
        <f aca="false">H55*IF(AND(01_Lease_Master!$Y$6&gt;0,01_Lease_Master!$Z$6&gt;0),01_Lease_Master!$Y$6*01_Lease_Master!$Z$6,01_Lease_Master!$X$6)</f>
        <v>2858.34019392159</v>
      </c>
      <c r="J55" s="6" t="n">
        <f aca="false">MAX(0,H55-I55)</f>
        <v>282975.679198237</v>
      </c>
      <c r="K55" s="1" t="s">
        <v>162</v>
      </c>
    </row>
    <row r="56" customFormat="false" ht="15" hidden="false" customHeight="true" outlineLevel="0" collapsed="false">
      <c r="A56" s="1" t="s">
        <v>65</v>
      </c>
      <c r="B56" s="1" t="n">
        <v>51</v>
      </c>
      <c r="C56" s="7" t="n">
        <v>46204</v>
      </c>
      <c r="D56" s="6" t="n">
        <f aca="false">H55</f>
        <v>285834.019392159</v>
      </c>
      <c r="E56" s="6" t="n">
        <f aca="false">01_Lease_Master!$W$6</f>
        <v>0.06</v>
      </c>
      <c r="F56" s="6" t="n">
        <f aca="false">D56*((1+E56)^((C56-IF(B56=1,01_Lease_Master!$D$6,C55))/365)-1)</f>
        <v>1372.20680546414</v>
      </c>
      <c r="G56" s="1" t="n">
        <f aca="false">IF(C56=01_Lease_Master!$V$6,01_Lease_Master!$U$6,0)</f>
        <v>0</v>
      </c>
      <c r="H56" s="6" t="n">
        <f aca="false">MAX(0,D56+F56-G56)</f>
        <v>287206.226197623</v>
      </c>
      <c r="I56" s="6" t="n">
        <f aca="false">H56*IF(AND(01_Lease_Master!$Y$6&gt;0,01_Lease_Master!$Z$6&gt;0),01_Lease_Master!$Y$6*01_Lease_Master!$Z$6,01_Lease_Master!$X$6)</f>
        <v>2872.06226197623</v>
      </c>
      <c r="J56" s="6" t="n">
        <f aca="false">MAX(0,H56-I56)</f>
        <v>284334.163935647</v>
      </c>
      <c r="K56" s="1" t="s">
        <v>162</v>
      </c>
    </row>
    <row r="57" customFormat="false" ht="15" hidden="false" customHeight="true" outlineLevel="0" collapsed="false">
      <c r="A57" s="1" t="s">
        <v>65</v>
      </c>
      <c r="B57" s="1" t="n">
        <v>52</v>
      </c>
      <c r="C57" s="7" t="n">
        <v>46235</v>
      </c>
      <c r="D57" s="6" t="n">
        <f aca="false">H56</f>
        <v>287206.226197623</v>
      </c>
      <c r="E57" s="6" t="n">
        <f aca="false">01_Lease_Master!$W$6</f>
        <v>0.06</v>
      </c>
      <c r="F57" s="6" t="n">
        <f aca="false">D57*((1+E57)^((C57-IF(B57=1,01_Lease_Master!$D$6,C56))/365)-1)</f>
        <v>1424.86800895429</v>
      </c>
      <c r="G57" s="1" t="n">
        <f aca="false">IF(C57=01_Lease_Master!$V$6,01_Lease_Master!$U$6,0)</f>
        <v>0</v>
      </c>
      <c r="H57" s="6" t="n">
        <f aca="false">MAX(0,D57+F57-G57)</f>
        <v>288631.094206577</v>
      </c>
      <c r="I57" s="6" t="n">
        <f aca="false">H57*IF(AND(01_Lease_Master!$Y$6&gt;0,01_Lease_Master!$Z$6&gt;0),01_Lease_Master!$Y$6*01_Lease_Master!$Z$6,01_Lease_Master!$X$6)</f>
        <v>2886.31094206577</v>
      </c>
      <c r="J57" s="6" t="n">
        <f aca="false">MAX(0,H57-I57)</f>
        <v>285744.783264511</v>
      </c>
      <c r="K57" s="1" t="s">
        <v>162</v>
      </c>
    </row>
    <row r="58" customFormat="false" ht="15" hidden="false" customHeight="true" outlineLevel="0" collapsed="false">
      <c r="A58" s="1" t="s">
        <v>65</v>
      </c>
      <c r="B58" s="1" t="n">
        <v>53</v>
      </c>
      <c r="C58" s="7" t="n">
        <v>46266</v>
      </c>
      <c r="D58" s="6" t="n">
        <f aca="false">H57</f>
        <v>288631.094206577</v>
      </c>
      <c r="E58" s="6" t="n">
        <f aca="false">01_Lease_Master!$W$6</f>
        <v>0.06</v>
      </c>
      <c r="F58" s="6" t="n">
        <f aca="false">D58*((1+E58)^((C58-IF(B58=1,01_Lease_Master!$D$6,C57))/365)-1)</f>
        <v>1431.93696727675</v>
      </c>
      <c r="G58" s="1" t="n">
        <f aca="false">IF(C58=01_Lease_Master!$V$6,01_Lease_Master!$U$6,0)</f>
        <v>0</v>
      </c>
      <c r="H58" s="6" t="n">
        <f aca="false">MAX(0,D58+F58-G58)</f>
        <v>290063.031173854</v>
      </c>
      <c r="I58" s="6" t="n">
        <f aca="false">H58*IF(AND(01_Lease_Master!$Y$6&gt;0,01_Lease_Master!$Z$6&gt;0),01_Lease_Master!$Y$6*01_Lease_Master!$Z$6,01_Lease_Master!$X$6)</f>
        <v>2900.63031173854</v>
      </c>
      <c r="J58" s="6" t="n">
        <f aca="false">MAX(0,H58-I58)</f>
        <v>287162.400862115</v>
      </c>
      <c r="K58" s="1" t="s">
        <v>162</v>
      </c>
    </row>
    <row r="59" customFormat="false" ht="15" hidden="false" customHeight="true" outlineLevel="0" collapsed="false">
      <c r="A59" s="1" t="s">
        <v>65</v>
      </c>
      <c r="B59" s="1" t="n">
        <v>54</v>
      </c>
      <c r="C59" s="7" t="n">
        <v>46271</v>
      </c>
      <c r="D59" s="6" t="n">
        <f aca="false">H58</f>
        <v>290063.031173854</v>
      </c>
      <c r="E59" s="6" t="n">
        <f aca="false">01_Lease_Master!$W$6</f>
        <v>0.06</v>
      </c>
      <c r="F59" s="6" t="n">
        <f aca="false">D59*((1+E59)^((C59-IF(B59=1,01_Lease_Master!$D$6,C58))/365)-1)</f>
        <v>231.621964320186</v>
      </c>
      <c r="G59" s="1" t="n">
        <f aca="false">IF(C59=01_Lease_Master!$V$6,01_Lease_Master!$U$6,0)</f>
        <v>0</v>
      </c>
      <c r="H59" s="6" t="n">
        <f aca="false">MAX(0,D59+F59-G59)</f>
        <v>290294.653138174</v>
      </c>
      <c r="I59" s="6" t="n">
        <f aca="false">H59*IF(AND(01_Lease_Master!$Y$6&gt;0,01_Lease_Master!$Z$6&gt;0),01_Lease_Master!$Y$6*01_Lease_Master!$Z$6,01_Lease_Master!$X$6)</f>
        <v>2902.94653138174</v>
      </c>
      <c r="J59" s="6" t="n">
        <f aca="false">MAX(0,H59-I59)</f>
        <v>287391.706606792</v>
      </c>
      <c r="K59" s="1" t="s">
        <v>162</v>
      </c>
    </row>
    <row r="60" customFormat="false" ht="15" hidden="false" customHeight="true" outlineLevel="0" collapsed="false">
      <c r="A60" s="1" t="s">
        <v>74</v>
      </c>
      <c r="B60" s="1" t="n">
        <v>1</v>
      </c>
      <c r="C60" s="7" t="n">
        <v>45323</v>
      </c>
      <c r="D60" s="6" t="n">
        <f aca="false">IF(01_Lease_Master!$D$7&gt;$B$3,0,ROUND(01_Lease_Master!$U$7-03_Initial_Recognition!$H$7,2))</f>
        <v>105727.2</v>
      </c>
      <c r="E60" s="6" t="n">
        <f aca="false">01_Lease_Master!$W$7</f>
        <v>0.06</v>
      </c>
      <c r="F60" s="6" t="n">
        <f aca="false">D60*((1+E60)^((C60-IF(B60=1,01_Lease_Master!$D$7,C59))/365)-1)</f>
        <v>524.526598711874</v>
      </c>
      <c r="G60" s="1" t="n">
        <f aca="false">IF(C60=01_Lease_Master!$V$7,01_Lease_Master!$U$7,0)</f>
        <v>0</v>
      </c>
      <c r="H60" s="6" t="n">
        <f aca="false">MAX(0,D60+F60-G60)</f>
        <v>106251.726598712</v>
      </c>
      <c r="I60" s="6" t="n">
        <f aca="false">H60*IF(AND(01_Lease_Master!$Y$7&gt;0,01_Lease_Master!$Z$7&gt;0),01_Lease_Master!$Y$7*01_Lease_Master!$Z$7,01_Lease_Master!$X$7)</f>
        <v>717.199154541305</v>
      </c>
      <c r="J60" s="6" t="n">
        <f aca="false">MAX(0,H60-I60)</f>
        <v>105534.527444171</v>
      </c>
      <c r="K60" s="1" t="s">
        <v>162</v>
      </c>
    </row>
    <row r="61" customFormat="false" ht="15" hidden="false" customHeight="true" outlineLevel="0" collapsed="false">
      <c r="A61" s="1" t="s">
        <v>74</v>
      </c>
      <c r="B61" s="1" t="n">
        <v>2</v>
      </c>
      <c r="C61" s="7" t="n">
        <v>45352</v>
      </c>
      <c r="D61" s="6" t="n">
        <f aca="false">H60</f>
        <v>106251.726598712</v>
      </c>
      <c r="E61" s="6" t="n">
        <f aca="false">01_Lease_Master!$W$7</f>
        <v>0.06</v>
      </c>
      <c r="F61" s="6" t="n">
        <f aca="false">D61*((1+E61)^((C61-IF(B61=1,01_Lease_Master!$D$7,C60))/365)-1)</f>
        <v>493.041753158642</v>
      </c>
      <c r="G61" s="1" t="n">
        <f aca="false">IF(C61=01_Lease_Master!$V$7,01_Lease_Master!$U$7,0)</f>
        <v>0</v>
      </c>
      <c r="H61" s="6" t="n">
        <f aca="false">MAX(0,D61+F61-G61)</f>
        <v>106744.768351871</v>
      </c>
      <c r="I61" s="6" t="n">
        <f aca="false">H61*IF(AND(01_Lease_Master!$Y$7&gt;0,01_Lease_Master!$Z$7&gt;0),01_Lease_Master!$Y$7*01_Lease_Master!$Z$7,01_Lease_Master!$X$7)</f>
        <v>720.527186375126</v>
      </c>
      <c r="J61" s="6" t="n">
        <f aca="false">MAX(0,H61-I61)</f>
        <v>106024.241165495</v>
      </c>
      <c r="K61" s="1" t="s">
        <v>162</v>
      </c>
    </row>
    <row r="62" customFormat="false" ht="15" hidden="false" customHeight="true" outlineLevel="0" collapsed="false">
      <c r="A62" s="1" t="s">
        <v>74</v>
      </c>
      <c r="B62" s="1" t="n">
        <v>3</v>
      </c>
      <c r="C62" s="7" t="n">
        <v>45383</v>
      </c>
      <c r="D62" s="6" t="n">
        <f aca="false">H61</f>
        <v>106744.768351871</v>
      </c>
      <c r="E62" s="6" t="n">
        <f aca="false">01_Lease_Master!$W$7</f>
        <v>0.06</v>
      </c>
      <c r="F62" s="6" t="n">
        <f aca="false">D62*((1+E62)^((C62-IF(B62=1,01_Lease_Master!$D$7,C61))/365)-1)</f>
        <v>529.574889658418</v>
      </c>
      <c r="G62" s="1" t="n">
        <f aca="false">IF(C62=01_Lease_Master!$V$7,01_Lease_Master!$U$7,0)</f>
        <v>0</v>
      </c>
      <c r="H62" s="6" t="n">
        <f aca="false">MAX(0,D62+F62-G62)</f>
        <v>107274.343241529</v>
      </c>
      <c r="I62" s="6" t="n">
        <f aca="false">H62*IF(AND(01_Lease_Master!$Y$7&gt;0,01_Lease_Master!$Z$7&gt;0),01_Lease_Master!$Y$7*01_Lease_Master!$Z$7,01_Lease_Master!$X$7)</f>
        <v>724.10181688032</v>
      </c>
      <c r="J62" s="6" t="n">
        <f aca="false">MAX(0,H62-I62)</f>
        <v>106550.241424649</v>
      </c>
      <c r="K62" s="1" t="s">
        <v>162</v>
      </c>
    </row>
    <row r="63" customFormat="false" ht="15" hidden="false" customHeight="true" outlineLevel="0" collapsed="false">
      <c r="A63" s="1" t="s">
        <v>74</v>
      </c>
      <c r="B63" s="1" t="n">
        <v>4</v>
      </c>
      <c r="C63" s="7" t="n">
        <v>45413</v>
      </c>
      <c r="D63" s="6" t="n">
        <f aca="false">H62</f>
        <v>107274.343241529</v>
      </c>
      <c r="E63" s="6" t="n">
        <f aca="false">01_Lease_Master!$W$7</f>
        <v>0.06</v>
      </c>
      <c r="F63" s="6" t="n">
        <f aca="false">D63*((1+E63)^((C63-IF(B63=1,01_Lease_Master!$D$7,C62))/365)-1)</f>
        <v>514.99322635128</v>
      </c>
      <c r="G63" s="1" t="n">
        <f aca="false">IF(C63=01_Lease_Master!$V$7,01_Lease_Master!$U$7,0)</f>
        <v>0</v>
      </c>
      <c r="H63" s="6" t="n">
        <f aca="false">MAX(0,D63+F63-G63)</f>
        <v>107789.33646788</v>
      </c>
      <c r="I63" s="6" t="n">
        <f aca="false">H63*IF(AND(01_Lease_Master!$Y$7&gt;0,01_Lease_Master!$Z$7&gt;0),01_Lease_Master!$Y$7*01_Lease_Master!$Z$7,01_Lease_Master!$X$7)</f>
        <v>727.578021158191</v>
      </c>
      <c r="J63" s="6" t="n">
        <f aca="false">MAX(0,H63-I63)</f>
        <v>107061.758446722</v>
      </c>
      <c r="K63" s="1" t="s">
        <v>162</v>
      </c>
    </row>
    <row r="64" customFormat="false" ht="15" hidden="false" customHeight="true" outlineLevel="0" collapsed="false">
      <c r="A64" s="1" t="s">
        <v>74</v>
      </c>
      <c r="B64" s="1" t="n">
        <v>5</v>
      </c>
      <c r="C64" s="7" t="n">
        <v>45444</v>
      </c>
      <c r="D64" s="6" t="n">
        <f aca="false">H63</f>
        <v>107789.33646788</v>
      </c>
      <c r="E64" s="6" t="n">
        <f aca="false">01_Lease_Master!$W$7</f>
        <v>0.06</v>
      </c>
      <c r="F64" s="6" t="n">
        <f aca="false">D64*((1+E64)^((C64-IF(B64=1,01_Lease_Master!$D$7,C63))/365)-1)</f>
        <v>534.757129999725</v>
      </c>
      <c r="G64" s="1" t="n">
        <f aca="false">IF(C64=01_Lease_Master!$V$7,01_Lease_Master!$U$7,0)</f>
        <v>0</v>
      </c>
      <c r="H64" s="6" t="n">
        <f aca="false">MAX(0,D64+F64-G64)</f>
        <v>108324.09359788</v>
      </c>
      <c r="I64" s="6" t="n">
        <f aca="false">H64*IF(AND(01_Lease_Master!$Y$7&gt;0,01_Lease_Master!$Z$7&gt;0),01_Lease_Master!$Y$7*01_Lease_Master!$Z$7,01_Lease_Master!$X$7)</f>
        <v>731.18763178569</v>
      </c>
      <c r="J64" s="6" t="n">
        <f aca="false">MAX(0,H64-I64)</f>
        <v>107592.905966094</v>
      </c>
      <c r="K64" s="1" t="s">
        <v>162</v>
      </c>
    </row>
    <row r="65" customFormat="false" ht="15" hidden="false" customHeight="true" outlineLevel="0" collapsed="false">
      <c r="A65" s="1" t="s">
        <v>74</v>
      </c>
      <c r="B65" s="1" t="n">
        <v>6</v>
      </c>
      <c r="C65" s="7" t="n">
        <v>45474</v>
      </c>
      <c r="D65" s="6" t="n">
        <f aca="false">H64</f>
        <v>108324.09359788</v>
      </c>
      <c r="E65" s="6" t="n">
        <f aca="false">01_Lease_Master!$W$7</f>
        <v>0.06</v>
      </c>
      <c r="F65" s="6" t="n">
        <f aca="false">D65*((1+E65)^((C65-IF(B65=1,01_Lease_Master!$D$7,C64))/365)-1)</f>
        <v>520.03277547873</v>
      </c>
      <c r="G65" s="1" t="n">
        <f aca="false">IF(C65=01_Lease_Master!$V$7,01_Lease_Master!$U$7,0)</f>
        <v>0</v>
      </c>
      <c r="H65" s="6" t="n">
        <f aca="false">MAX(0,D65+F65-G65)</f>
        <v>108844.126373359</v>
      </c>
      <c r="I65" s="6" t="n">
        <f aca="false">H65*IF(AND(01_Lease_Master!$Y$7&gt;0,01_Lease_Master!$Z$7&gt;0),01_Lease_Master!$Y$7*01_Lease_Master!$Z$7,01_Lease_Master!$X$7)</f>
        <v>734.697853020171</v>
      </c>
      <c r="J65" s="6" t="n">
        <f aca="false">MAX(0,H65-I65)</f>
        <v>108109.428520338</v>
      </c>
      <c r="K65" s="1" t="s">
        <v>162</v>
      </c>
    </row>
    <row r="66" customFormat="false" ht="15" hidden="false" customHeight="true" outlineLevel="0" collapsed="false">
      <c r="A66" s="1" t="s">
        <v>74</v>
      </c>
      <c r="B66" s="1" t="n">
        <v>7</v>
      </c>
      <c r="C66" s="7" t="n">
        <v>45505</v>
      </c>
      <c r="D66" s="6" t="n">
        <f aca="false">H65</f>
        <v>108844.126373359</v>
      </c>
      <c r="E66" s="6" t="n">
        <f aca="false">01_Lease_Master!$W$7</f>
        <v>0.06</v>
      </c>
      <c r="F66" s="6" t="n">
        <f aca="false">D66*((1+E66)^((C66-IF(B66=1,01_Lease_Master!$D$7,C65))/365)-1)</f>
        <v>539.990081988203</v>
      </c>
      <c r="G66" s="1" t="n">
        <f aca="false">IF(C66=01_Lease_Master!$V$7,01_Lease_Master!$U$7,0)</f>
        <v>0</v>
      </c>
      <c r="H66" s="6" t="n">
        <f aca="false">MAX(0,D66+F66-G66)</f>
        <v>109384.116455347</v>
      </c>
      <c r="I66" s="6" t="n">
        <f aca="false">H66*IF(AND(01_Lease_Master!$Y$7&gt;0,01_Lease_Master!$Z$7&gt;0),01_Lease_Master!$Y$7*01_Lease_Master!$Z$7,01_Lease_Master!$X$7)</f>
        <v>738.342786073591</v>
      </c>
      <c r="J66" s="6" t="n">
        <f aca="false">MAX(0,H66-I66)</f>
        <v>108645.773669273</v>
      </c>
      <c r="K66" s="1" t="s">
        <v>162</v>
      </c>
    </row>
    <row r="67" customFormat="false" ht="15" hidden="false" customHeight="true" outlineLevel="0" collapsed="false">
      <c r="A67" s="1" t="s">
        <v>74</v>
      </c>
      <c r="B67" s="1" t="n">
        <v>8</v>
      </c>
      <c r="C67" s="7" t="n">
        <v>45536</v>
      </c>
      <c r="D67" s="6" t="n">
        <f aca="false">H66</f>
        <v>109384.116455347</v>
      </c>
      <c r="E67" s="6" t="n">
        <f aca="false">01_Lease_Master!$W$7</f>
        <v>0.06</v>
      </c>
      <c r="F67" s="6" t="n">
        <f aca="false">D67*((1+E67)^((C67-IF(B67=1,01_Lease_Master!$D$7,C66))/365)-1)</f>
        <v>542.669044081623</v>
      </c>
      <c r="G67" s="1" t="n">
        <f aca="false">IF(C67=01_Lease_Master!$V$7,01_Lease_Master!$U$7,0)</f>
        <v>0</v>
      </c>
      <c r="H67" s="6" t="n">
        <f aca="false">MAX(0,D67+F67-G67)</f>
        <v>109926.785499428</v>
      </c>
      <c r="I67" s="6" t="n">
        <f aca="false">H67*IF(AND(01_Lease_Master!$Y$7&gt;0,01_Lease_Master!$Z$7&gt;0),01_Lease_Master!$Y$7*01_Lease_Master!$Z$7,01_Lease_Master!$X$7)</f>
        <v>742.005802121142</v>
      </c>
      <c r="J67" s="6" t="n">
        <f aca="false">MAX(0,H67-I67)</f>
        <v>109184.779697307</v>
      </c>
      <c r="K67" s="1" t="s">
        <v>162</v>
      </c>
    </row>
    <row r="68" customFormat="false" ht="15" hidden="false" customHeight="true" outlineLevel="0" collapsed="false">
      <c r="A68" s="1" t="s">
        <v>74</v>
      </c>
      <c r="B68" s="1" t="n">
        <v>9</v>
      </c>
      <c r="C68" s="7" t="n">
        <v>45566</v>
      </c>
      <c r="D68" s="6" t="n">
        <f aca="false">H67</f>
        <v>109926.785499428</v>
      </c>
      <c r="E68" s="6" t="n">
        <f aca="false">01_Lease_Master!$W$7</f>
        <v>0.06</v>
      </c>
      <c r="F68" s="6" t="n">
        <f aca="false">D68*((1+E68)^((C68-IF(B68=1,01_Lease_Master!$D$7,C67))/365)-1)</f>
        <v>527.726837714723</v>
      </c>
      <c r="G68" s="1" t="n">
        <f aca="false">IF(C68=01_Lease_Master!$V$7,01_Lease_Master!$U$7,0)</f>
        <v>0</v>
      </c>
      <c r="H68" s="6" t="n">
        <f aca="false">MAX(0,D68+F68-G68)</f>
        <v>110454.512337143</v>
      </c>
      <c r="I68" s="6" t="n">
        <f aca="false">H68*IF(AND(01_Lease_Master!$Y$7&gt;0,01_Lease_Master!$Z$7&gt;0),01_Lease_Master!$Y$7*01_Lease_Master!$Z$7,01_Lease_Master!$X$7)</f>
        <v>745.567958275717</v>
      </c>
      <c r="J68" s="6" t="n">
        <f aca="false">MAX(0,H68-I68)</f>
        <v>109708.944378867</v>
      </c>
      <c r="K68" s="1" t="s">
        <v>162</v>
      </c>
    </row>
    <row r="69" customFormat="false" ht="15" hidden="false" customHeight="true" outlineLevel="0" collapsed="false">
      <c r="A69" s="1" t="s">
        <v>74</v>
      </c>
      <c r="B69" s="1" t="n">
        <v>10</v>
      </c>
      <c r="C69" s="7" t="n">
        <v>45597</v>
      </c>
      <c r="D69" s="6" t="n">
        <f aca="false">H68</f>
        <v>110454.512337143</v>
      </c>
      <c r="E69" s="6" t="n">
        <f aca="false">01_Lease_Master!$W$7</f>
        <v>0.06</v>
      </c>
      <c r="F69" s="6" t="n">
        <f aca="false">D69*((1+E69)^((C69-IF(B69=1,01_Lease_Master!$D$7,C68))/365)-1)</f>
        <v>547.979419379123</v>
      </c>
      <c r="G69" s="1" t="n">
        <f aca="false">IF(C69=01_Lease_Master!$V$7,01_Lease_Master!$U$7,0)</f>
        <v>0</v>
      </c>
      <c r="H69" s="6" t="n">
        <f aca="false">MAX(0,D69+F69-G69)</f>
        <v>111002.491756522</v>
      </c>
      <c r="I69" s="6" t="n">
        <f aca="false">H69*IF(AND(01_Lease_Master!$Y$7&gt;0,01_Lease_Master!$Z$7&gt;0),01_Lease_Master!$Y$7*01_Lease_Master!$Z$7,01_Lease_Master!$X$7)</f>
        <v>749.266819356526</v>
      </c>
      <c r="J69" s="6" t="n">
        <f aca="false">MAX(0,H69-I69)</f>
        <v>110253.224937166</v>
      </c>
      <c r="K69" s="1" t="s">
        <v>162</v>
      </c>
    </row>
    <row r="70" customFormat="false" ht="15" hidden="false" customHeight="true" outlineLevel="0" collapsed="false">
      <c r="A70" s="1" t="s">
        <v>74</v>
      </c>
      <c r="B70" s="1" t="n">
        <v>11</v>
      </c>
      <c r="C70" s="7" t="n">
        <v>45627</v>
      </c>
      <c r="D70" s="6" t="n">
        <f aca="false">H69</f>
        <v>111002.491756522</v>
      </c>
      <c r="E70" s="6" t="n">
        <f aca="false">01_Lease_Master!$W$7</f>
        <v>0.06</v>
      </c>
      <c r="F70" s="6" t="n">
        <f aca="false">D70*((1+E70)^((C70-IF(B70=1,01_Lease_Master!$D$7,C69))/365)-1)</f>
        <v>532.890993646209</v>
      </c>
      <c r="G70" s="1" t="n">
        <f aca="false">IF(C70=01_Lease_Master!$V$7,01_Lease_Master!$U$7,0)</f>
        <v>0</v>
      </c>
      <c r="H70" s="6" t="n">
        <f aca="false">MAX(0,D70+F70-G70)</f>
        <v>111535.382750169</v>
      </c>
      <c r="I70" s="6" t="n">
        <f aca="false">H70*IF(AND(01_Lease_Master!$Y$7&gt;0,01_Lease_Master!$Z$7&gt;0),01_Lease_Master!$Y$7*01_Lease_Master!$Z$7,01_Lease_Master!$X$7)</f>
        <v>752.863833563638</v>
      </c>
      <c r="J70" s="6" t="n">
        <f aca="false">MAX(0,H70-I70)</f>
        <v>110782.518916605</v>
      </c>
      <c r="K70" s="1" t="s">
        <v>162</v>
      </c>
    </row>
    <row r="71" customFormat="false" ht="15" hidden="false" customHeight="true" outlineLevel="0" collapsed="false">
      <c r="A71" s="1" t="s">
        <v>74</v>
      </c>
      <c r="B71" s="1" t="n">
        <v>12</v>
      </c>
      <c r="C71" s="7" t="n">
        <v>45658</v>
      </c>
      <c r="D71" s="6" t="n">
        <f aca="false">H70</f>
        <v>111535.382750169</v>
      </c>
      <c r="E71" s="6" t="n">
        <f aca="false">01_Lease_Master!$W$7</f>
        <v>0.06</v>
      </c>
      <c r="F71" s="6" t="n">
        <f aca="false">D71*((1+E71)^((C71-IF(B71=1,01_Lease_Master!$D$7,C70))/365)-1)</f>
        <v>553.341760209037</v>
      </c>
      <c r="G71" s="1" t="n">
        <f aca="false">IF(C71=01_Lease_Master!$V$7,01_Lease_Master!$U$7,0)</f>
        <v>0</v>
      </c>
      <c r="H71" s="6" t="n">
        <f aca="false">MAX(0,D71+F71-G71)</f>
        <v>112088.724510378</v>
      </c>
      <c r="I71" s="6" t="n">
        <f aca="false">H71*IF(AND(01_Lease_Master!$Y$7&gt;0,01_Lease_Master!$Z$7&gt;0),01_Lease_Master!$Y$7*01_Lease_Master!$Z$7,01_Lease_Master!$X$7)</f>
        <v>756.598890445049</v>
      </c>
      <c r="J71" s="6" t="n">
        <f aca="false">MAX(0,H71-I71)</f>
        <v>111332.125619933</v>
      </c>
      <c r="K71" s="1" t="s">
        <v>162</v>
      </c>
    </row>
    <row r="72" customFormat="false" ht="15" hidden="false" customHeight="true" outlineLevel="0" collapsed="false">
      <c r="A72" s="1" t="s">
        <v>74</v>
      </c>
      <c r="B72" s="1" t="n">
        <v>13</v>
      </c>
      <c r="C72" s="7" t="n">
        <v>45689</v>
      </c>
      <c r="D72" s="6" t="n">
        <f aca="false">H71</f>
        <v>112088.724510378</v>
      </c>
      <c r="E72" s="6" t="n">
        <f aca="false">01_Lease_Master!$W$7</f>
        <v>0.06</v>
      </c>
      <c r="F72" s="6" t="n">
        <f aca="false">D72*((1+E72)^((C72-IF(B72=1,01_Lease_Master!$D$7,C71))/365)-1)</f>
        <v>556.086961740977</v>
      </c>
      <c r="G72" s="1" t="n">
        <f aca="false">IF(C72=01_Lease_Master!$V$7,01_Lease_Master!$U$7,0)</f>
        <v>0</v>
      </c>
      <c r="H72" s="6" t="n">
        <f aca="false">MAX(0,D72+F72-G72)</f>
        <v>112644.811472119</v>
      </c>
      <c r="I72" s="6" t="n">
        <f aca="false">H72*IF(AND(01_Lease_Master!$Y$7&gt;0,01_Lease_Master!$Z$7&gt;0),01_Lease_Master!$Y$7*01_Lease_Master!$Z$7,01_Lease_Master!$X$7)</f>
        <v>760.3524774368</v>
      </c>
      <c r="J72" s="6" t="n">
        <f aca="false">MAX(0,H72-I72)</f>
        <v>111884.458994682</v>
      </c>
      <c r="K72" s="1" t="s">
        <v>162</v>
      </c>
    </row>
    <row r="73" customFormat="false" ht="15" hidden="false" customHeight="true" outlineLevel="0" collapsed="false">
      <c r="A73" s="1" t="s">
        <v>74</v>
      </c>
      <c r="B73" s="1" t="n">
        <v>14</v>
      </c>
      <c r="C73" s="7" t="n">
        <v>45717</v>
      </c>
      <c r="D73" s="6" t="n">
        <f aca="false">H72</f>
        <v>112644.811472119</v>
      </c>
      <c r="E73" s="6" t="n">
        <f aca="false">01_Lease_Master!$W$7</f>
        <v>0.06</v>
      </c>
      <c r="F73" s="6" t="n">
        <f aca="false">D73*((1+E73)^((C73-IF(B73=1,01_Lease_Master!$D$7,C72))/365)-1)</f>
        <v>504.642980864133</v>
      </c>
      <c r="G73" s="1" t="n">
        <f aca="false">IF(C73=01_Lease_Master!$V$7,01_Lease_Master!$U$7,0)</f>
        <v>0</v>
      </c>
      <c r="H73" s="6" t="n">
        <f aca="false">MAX(0,D73+F73-G73)</f>
        <v>113149.454452983</v>
      </c>
      <c r="I73" s="6" t="n">
        <f aca="false">H73*IF(AND(01_Lease_Master!$Y$7&gt;0,01_Lease_Master!$Z$7&gt;0),01_Lease_Master!$Y$7*01_Lease_Master!$Z$7,01_Lease_Master!$X$7)</f>
        <v>763.758817557633</v>
      </c>
      <c r="J73" s="6" t="n">
        <f aca="false">MAX(0,H73-I73)</f>
        <v>112385.695635425</v>
      </c>
      <c r="K73" s="1" t="s">
        <v>162</v>
      </c>
    </row>
    <row r="74" customFormat="false" ht="15" hidden="false" customHeight="true" outlineLevel="0" collapsed="false">
      <c r="A74" s="1" t="s">
        <v>74</v>
      </c>
      <c r="B74" s="1" t="n">
        <v>15</v>
      </c>
      <c r="C74" s="7" t="n">
        <v>45748</v>
      </c>
      <c r="D74" s="6" t="n">
        <f aca="false">H73</f>
        <v>113149.454452983</v>
      </c>
      <c r="E74" s="6" t="n">
        <f aca="false">01_Lease_Master!$W$7</f>
        <v>0.06</v>
      </c>
      <c r="F74" s="6" t="n">
        <f aca="false">D74*((1+E74)^((C74-IF(B74=1,01_Lease_Master!$D$7,C73))/365)-1)</f>
        <v>561.349383037923</v>
      </c>
      <c r="G74" s="1" t="n">
        <f aca="false">IF(C74=01_Lease_Master!$V$7,01_Lease_Master!$U$7,0)</f>
        <v>0</v>
      </c>
      <c r="H74" s="6" t="n">
        <f aca="false">MAX(0,D74+F74-G74)</f>
        <v>113710.803836021</v>
      </c>
      <c r="I74" s="6" t="n">
        <f aca="false">H74*IF(AND(01_Lease_Master!$Y$7&gt;0,01_Lease_Master!$Z$7&gt;0),01_Lease_Master!$Y$7*01_Lease_Master!$Z$7,01_Lease_Master!$X$7)</f>
        <v>767.547925893139</v>
      </c>
      <c r="J74" s="6" t="n">
        <f aca="false">MAX(0,H74-I74)</f>
        <v>112943.255910127</v>
      </c>
      <c r="K74" s="1" t="s">
        <v>162</v>
      </c>
    </row>
    <row r="75" customFormat="false" ht="15" hidden="false" customHeight="true" outlineLevel="0" collapsed="false">
      <c r="A75" s="1" t="s">
        <v>74</v>
      </c>
      <c r="B75" s="1" t="n">
        <v>16</v>
      </c>
      <c r="C75" s="7" t="n">
        <v>45778</v>
      </c>
      <c r="D75" s="6" t="n">
        <f aca="false">H74</f>
        <v>113710.803836021</v>
      </c>
      <c r="E75" s="6" t="n">
        <f aca="false">01_Lease_Master!$W$7</f>
        <v>0.06</v>
      </c>
      <c r="F75" s="6" t="n">
        <f aca="false">D75*((1+E75)^((C75-IF(B75=1,01_Lease_Master!$D$7,C74))/365)-1)</f>
        <v>545.892819932357</v>
      </c>
      <c r="G75" s="1" t="n">
        <f aca="false">IF(C75=01_Lease_Master!$V$7,01_Lease_Master!$U$7,0)</f>
        <v>0</v>
      </c>
      <c r="H75" s="6" t="n">
        <f aca="false">MAX(0,D75+F75-G75)</f>
        <v>114256.696655953</v>
      </c>
      <c r="I75" s="6" t="n">
        <f aca="false">H75*IF(AND(01_Lease_Master!$Y$7&gt;0,01_Lease_Master!$Z$7&gt;0),01_Lease_Master!$Y$7*01_Lease_Master!$Z$7,01_Lease_Master!$X$7)</f>
        <v>771.232702427682</v>
      </c>
      <c r="J75" s="6" t="n">
        <f aca="false">MAX(0,H75-I75)</f>
        <v>113485.463953525</v>
      </c>
      <c r="K75" s="1" t="s">
        <v>162</v>
      </c>
    </row>
    <row r="76" customFormat="false" ht="15" hidden="false" customHeight="true" outlineLevel="0" collapsed="false">
      <c r="A76" s="1" t="s">
        <v>74</v>
      </c>
      <c r="B76" s="1" t="n">
        <v>17</v>
      </c>
      <c r="C76" s="7" t="n">
        <v>45809</v>
      </c>
      <c r="D76" s="6" t="n">
        <f aca="false">H75</f>
        <v>114256.696655953</v>
      </c>
      <c r="E76" s="6" t="n">
        <f aca="false">01_Lease_Master!$W$7</f>
        <v>0.06</v>
      </c>
      <c r="F76" s="6" t="n">
        <f aca="false">D76*((1+E76)^((C76-IF(B76=1,01_Lease_Master!$D$7,C75))/365)-1)</f>
        <v>566.842557799708</v>
      </c>
      <c r="G76" s="1" t="n">
        <f aca="false">IF(C76=01_Lease_Master!$V$7,01_Lease_Master!$U$7,0)</f>
        <v>0</v>
      </c>
      <c r="H76" s="6" t="n">
        <f aca="false">MAX(0,D76+F76-G76)</f>
        <v>114823.539213753</v>
      </c>
      <c r="I76" s="6" t="n">
        <f aca="false">H76*IF(AND(01_Lease_Master!$Y$7&gt;0,01_Lease_Master!$Z$7&gt;0),01_Lease_Master!$Y$7*01_Lease_Master!$Z$7,01_Lease_Master!$X$7)</f>
        <v>775.05888969283</v>
      </c>
      <c r="J76" s="6" t="n">
        <f aca="false">MAX(0,H76-I76)</f>
        <v>114048.48032406</v>
      </c>
      <c r="K76" s="1" t="s">
        <v>162</v>
      </c>
    </row>
    <row r="77" customFormat="false" ht="15" hidden="false" customHeight="true" outlineLevel="0" collapsed="false">
      <c r="A77" s="1" t="s">
        <v>74</v>
      </c>
      <c r="B77" s="1" t="n">
        <v>18</v>
      </c>
      <c r="C77" s="7" t="n">
        <v>45839</v>
      </c>
      <c r="D77" s="6" t="n">
        <f aca="false">H76</f>
        <v>114823.539213753</v>
      </c>
      <c r="E77" s="6" t="n">
        <f aca="false">01_Lease_Master!$W$7</f>
        <v>0.06</v>
      </c>
      <c r="F77" s="6" t="n">
        <f aca="false">D77*((1+E77)^((C77-IF(B77=1,01_Lease_Master!$D$7,C76))/365)-1)</f>
        <v>551.234742007454</v>
      </c>
      <c r="G77" s="1" t="n">
        <f aca="false">IF(C77=01_Lease_Master!$V$7,01_Lease_Master!$U$7,0)</f>
        <v>0</v>
      </c>
      <c r="H77" s="6" t="n">
        <f aca="false">MAX(0,D77+F77-G77)</f>
        <v>115374.77395576</v>
      </c>
      <c r="I77" s="6" t="n">
        <f aca="false">H77*IF(AND(01_Lease_Master!$Y$7&gt;0,01_Lease_Master!$Z$7&gt;0),01_Lease_Master!$Y$7*01_Lease_Master!$Z$7,01_Lease_Master!$X$7)</f>
        <v>778.779724201381</v>
      </c>
      <c r="J77" s="6" t="n">
        <f aca="false">MAX(0,H77-I77)</f>
        <v>114595.994231559</v>
      </c>
      <c r="K77" s="1" t="s">
        <v>162</v>
      </c>
    </row>
    <row r="78" customFormat="false" ht="15" hidden="false" customHeight="true" outlineLevel="0" collapsed="false">
      <c r="A78" s="1" t="s">
        <v>74</v>
      </c>
      <c r="B78" s="1" t="n">
        <v>19</v>
      </c>
      <c r="C78" s="7" t="n">
        <v>45870</v>
      </c>
      <c r="D78" s="6" t="n">
        <f aca="false">H77</f>
        <v>115374.77395576</v>
      </c>
      <c r="E78" s="6" t="n">
        <f aca="false">01_Lease_Master!$W$7</f>
        <v>0.06</v>
      </c>
      <c r="F78" s="6" t="n">
        <f aca="false">D78*((1+E78)^((C78-IF(B78=1,01_Lease_Master!$D$7,C77))/365)-1)</f>
        <v>572.389486907495</v>
      </c>
      <c r="G78" s="1" t="n">
        <f aca="false">IF(C78=01_Lease_Master!$V$7,01_Lease_Master!$U$7,0)</f>
        <v>0</v>
      </c>
      <c r="H78" s="6" t="n">
        <f aca="false">MAX(0,D78+F78-G78)</f>
        <v>115947.163442668</v>
      </c>
      <c r="I78" s="6" t="n">
        <f aca="false">H78*IF(AND(01_Lease_Master!$Y$7&gt;0,01_Lease_Master!$Z$7&gt;0),01_Lease_Master!$Y$7*01_Lease_Master!$Z$7,01_Lease_Master!$X$7)</f>
        <v>782.643353238006</v>
      </c>
      <c r="J78" s="6" t="n">
        <f aca="false">MAX(0,H78-I78)</f>
        <v>115164.52008943</v>
      </c>
      <c r="K78" s="1" t="s">
        <v>162</v>
      </c>
    </row>
    <row r="79" customFormat="false" ht="15" hidden="false" customHeight="true" outlineLevel="0" collapsed="false">
      <c r="A79" s="1" t="s">
        <v>74</v>
      </c>
      <c r="B79" s="1" t="n">
        <v>20</v>
      </c>
      <c r="C79" s="7" t="n">
        <v>45901</v>
      </c>
      <c r="D79" s="6" t="n">
        <f aca="false">H78</f>
        <v>115947.163442668</v>
      </c>
      <c r="E79" s="6" t="n">
        <f aca="false">01_Lease_Master!$W$7</f>
        <v>0.06</v>
      </c>
      <c r="F79" s="6" t="n">
        <f aca="false">D79*((1+E79)^((C79-IF(B79=1,01_Lease_Master!$D$7,C78))/365)-1)</f>
        <v>575.22918672652</v>
      </c>
      <c r="G79" s="1" t="n">
        <f aca="false">IF(C79=01_Lease_Master!$V$7,01_Lease_Master!$U$7,0)</f>
        <v>0</v>
      </c>
      <c r="H79" s="6" t="n">
        <f aca="false">MAX(0,D79+F79-G79)</f>
        <v>116522.392629394</v>
      </c>
      <c r="I79" s="6" t="n">
        <f aca="false">H79*IF(AND(01_Lease_Master!$Y$7&gt;0,01_Lease_Master!$Z$7&gt;0),01_Lease_Master!$Y$7*01_Lease_Master!$Z$7,01_Lease_Master!$X$7)</f>
        <v>786.52615024841</v>
      </c>
      <c r="J79" s="6" t="n">
        <f aca="false">MAX(0,H79-I79)</f>
        <v>115735.866479146</v>
      </c>
      <c r="K79" s="1" t="s">
        <v>162</v>
      </c>
    </row>
    <row r="80" customFormat="false" ht="15" hidden="false" customHeight="true" outlineLevel="0" collapsed="false">
      <c r="A80" s="1" t="s">
        <v>74</v>
      </c>
      <c r="B80" s="1" t="n">
        <v>21</v>
      </c>
      <c r="C80" s="7" t="n">
        <v>45931</v>
      </c>
      <c r="D80" s="6" t="n">
        <f aca="false">H79</f>
        <v>116522.392629394</v>
      </c>
      <c r="E80" s="6" t="n">
        <f aca="false">01_Lease_Master!$W$7</f>
        <v>0.06</v>
      </c>
      <c r="F80" s="6" t="n">
        <f aca="false">D80*((1+E80)^((C80-IF(B80=1,01_Lease_Master!$D$7,C79))/365)-1)</f>
        <v>559.390447977606</v>
      </c>
      <c r="G80" s="1" t="n">
        <f aca="false">IF(C80=01_Lease_Master!$V$7,01_Lease_Master!$U$7,0)</f>
        <v>0</v>
      </c>
      <c r="H80" s="6" t="n">
        <f aca="false">MAX(0,D80+F80-G80)</f>
        <v>117081.783077372</v>
      </c>
      <c r="I80" s="6" t="n">
        <f aca="false">H80*IF(AND(01_Lease_Master!$Y$7&gt;0,01_Lease_Master!$Z$7&gt;0),01_Lease_Master!$Y$7*01_Lease_Master!$Z$7,01_Lease_Master!$X$7)</f>
        <v>790.302035772259</v>
      </c>
      <c r="J80" s="6" t="n">
        <f aca="false">MAX(0,H80-I80)</f>
        <v>116291.481041599</v>
      </c>
      <c r="K80" s="1" t="s">
        <v>162</v>
      </c>
    </row>
    <row r="81" customFormat="false" ht="15" hidden="false" customHeight="true" outlineLevel="0" collapsed="false">
      <c r="A81" s="1" t="s">
        <v>74</v>
      </c>
      <c r="B81" s="1" t="n">
        <v>22</v>
      </c>
      <c r="C81" s="7" t="n">
        <v>45962</v>
      </c>
      <c r="D81" s="6" t="n">
        <f aca="false">H80</f>
        <v>117081.783077372</v>
      </c>
      <c r="E81" s="6" t="n">
        <f aca="false">01_Lease_Master!$W$7</f>
        <v>0.06</v>
      </c>
      <c r="F81" s="6" t="n">
        <f aca="false">D81*((1+E81)^((C81-IF(B81=1,01_Lease_Master!$D$7,C80))/365)-1)</f>
        <v>580.85818454187</v>
      </c>
      <c r="G81" s="1" t="n">
        <f aca="false">IF(C81=01_Lease_Master!$V$7,01_Lease_Master!$U$7,0)</f>
        <v>0</v>
      </c>
      <c r="H81" s="6" t="n">
        <f aca="false">MAX(0,D81+F81-G81)</f>
        <v>117662.641261914</v>
      </c>
      <c r="I81" s="6" t="n">
        <f aca="false">H81*IF(AND(01_Lease_Master!$Y$7&gt;0,01_Lease_Master!$Z$7&gt;0),01_Lease_Master!$Y$7*01_Lease_Master!$Z$7,01_Lease_Master!$X$7)</f>
        <v>794.222828517917</v>
      </c>
      <c r="J81" s="6" t="n">
        <f aca="false">MAX(0,H81-I81)</f>
        <v>116868.418433396</v>
      </c>
      <c r="K81" s="1" t="s">
        <v>162</v>
      </c>
    </row>
    <row r="82" customFormat="false" ht="15" hidden="false" customHeight="true" outlineLevel="0" collapsed="false">
      <c r="A82" s="1" t="s">
        <v>74</v>
      </c>
      <c r="B82" s="1" t="n">
        <v>23</v>
      </c>
      <c r="C82" s="7" t="n">
        <v>45992</v>
      </c>
      <c r="D82" s="6" t="n">
        <f aca="false">H81</f>
        <v>117662.641261914</v>
      </c>
      <c r="E82" s="6" t="n">
        <f aca="false">01_Lease_Master!$W$7</f>
        <v>0.06</v>
      </c>
      <c r="F82" s="6" t="n">
        <f aca="false">D82*((1+E82)^((C82-IF(B82=1,01_Lease_Master!$D$7,C81))/365)-1)</f>
        <v>564.864453264981</v>
      </c>
      <c r="G82" s="1" t="n">
        <f aca="false">IF(C82=01_Lease_Master!$V$7,01_Lease_Master!$U$7,0)</f>
        <v>0</v>
      </c>
      <c r="H82" s="6" t="n">
        <f aca="false">MAX(0,D82+F82-G82)</f>
        <v>118227.505715179</v>
      </c>
      <c r="I82" s="6" t="n">
        <f aca="false">H82*IF(AND(01_Lease_Master!$Y$7&gt;0,01_Lease_Master!$Z$7&gt;0),01_Lease_Master!$Y$7*01_Lease_Master!$Z$7,01_Lease_Master!$X$7)</f>
        <v>798.035663577455</v>
      </c>
      <c r="J82" s="6" t="n">
        <f aca="false">MAX(0,H82-I82)</f>
        <v>117429.470051601</v>
      </c>
      <c r="K82" s="1" t="s">
        <v>162</v>
      </c>
    </row>
    <row r="83" customFormat="false" ht="15" hidden="false" customHeight="true" outlineLevel="0" collapsed="false">
      <c r="A83" s="1" t="s">
        <v>74</v>
      </c>
      <c r="B83" s="1" t="n">
        <v>24</v>
      </c>
      <c r="C83" s="7" t="n">
        <v>46023</v>
      </c>
      <c r="D83" s="6" t="n">
        <f aca="false">H82</f>
        <v>118227.505715179</v>
      </c>
      <c r="E83" s="6" t="n">
        <f aca="false">01_Lease_Master!$W$7</f>
        <v>0.06</v>
      </c>
      <c r="F83" s="6" t="n">
        <f aca="false">D83*((1+E83)^((C83-IF(B83=1,01_Lease_Master!$D$7,C82))/365)-1)</f>
        <v>586.542265821579</v>
      </c>
      <c r="G83" s="1" t="n">
        <f aca="false">IF(C83=01_Lease_Master!$V$7,01_Lease_Master!$U$7,0)</f>
        <v>0</v>
      </c>
      <c r="H83" s="6" t="n">
        <f aca="false">MAX(0,D83+F83-G83)</f>
        <v>118814.047981</v>
      </c>
      <c r="I83" s="6" t="n">
        <f aca="false">H83*IF(AND(01_Lease_Master!$Y$7&gt;0,01_Lease_Master!$Z$7&gt;0),01_Lease_Master!$Y$7*01_Lease_Master!$Z$7,01_Lease_Master!$X$7)</f>
        <v>801.994823871751</v>
      </c>
      <c r="J83" s="6" t="n">
        <f aca="false">MAX(0,H83-I83)</f>
        <v>118012.053157128</v>
      </c>
      <c r="K83" s="1" t="s">
        <v>162</v>
      </c>
    </row>
    <row r="84" customFormat="false" ht="15" hidden="false" customHeight="true" outlineLevel="0" collapsed="false">
      <c r="A84" s="1" t="s">
        <v>74</v>
      </c>
      <c r="B84" s="1" t="n">
        <v>25</v>
      </c>
      <c r="C84" s="7" t="n">
        <v>46054</v>
      </c>
      <c r="D84" s="6" t="n">
        <f aca="false">H83</f>
        <v>118814.047981</v>
      </c>
      <c r="E84" s="6" t="n">
        <f aca="false">01_Lease_Master!$W$7</f>
        <v>0.06</v>
      </c>
      <c r="F84" s="6" t="n">
        <f aca="false">D84*((1+E84)^((C84-IF(B84=1,01_Lease_Master!$D$7,C83))/365)-1)</f>
        <v>589.452179445435</v>
      </c>
      <c r="G84" s="1" t="n">
        <f aca="false">IF(C84=01_Lease_Master!$V$7,01_Lease_Master!$U$7,0)</f>
        <v>0</v>
      </c>
      <c r="H84" s="6" t="n">
        <f aca="false">MAX(0,D84+F84-G84)</f>
        <v>119403.500160446</v>
      </c>
      <c r="I84" s="6" t="n">
        <f aca="false">H84*IF(AND(01_Lease_Master!$Y$7&gt;0,01_Lease_Master!$Z$7&gt;0),01_Lease_Master!$Y$7*01_Lease_Master!$Z$7,01_Lease_Master!$X$7)</f>
        <v>805.973626083008</v>
      </c>
      <c r="J84" s="6" t="n">
        <f aca="false">MAX(0,H84-I84)</f>
        <v>118597.526534363</v>
      </c>
      <c r="K84" s="1" t="s">
        <v>162</v>
      </c>
    </row>
    <row r="85" customFormat="false" ht="15" hidden="false" customHeight="true" outlineLevel="0" collapsed="false">
      <c r="A85" s="1" t="s">
        <v>74</v>
      </c>
      <c r="B85" s="1" t="n">
        <v>26</v>
      </c>
      <c r="C85" s="7" t="n">
        <v>46082</v>
      </c>
      <c r="D85" s="6" t="n">
        <f aca="false">H84</f>
        <v>119403.500160446</v>
      </c>
      <c r="E85" s="6" t="n">
        <f aca="false">01_Lease_Master!$W$7</f>
        <v>0.06</v>
      </c>
      <c r="F85" s="6" t="n">
        <f aca="false">D85*((1+E85)^((C85-IF(B85=1,01_Lease_Master!$D$7,C84))/365)-1)</f>
        <v>534.92155971598</v>
      </c>
      <c r="G85" s="1" t="n">
        <f aca="false">IF(C85=01_Lease_Master!$V$7,01_Lease_Master!$U$7,0)</f>
        <v>0</v>
      </c>
      <c r="H85" s="6" t="n">
        <f aca="false">MAX(0,D85+F85-G85)</f>
        <v>119938.421720162</v>
      </c>
      <c r="I85" s="6" t="n">
        <f aca="false">H85*IF(AND(01_Lease_Master!$Y$7&gt;0,01_Lease_Master!$Z$7&gt;0),01_Lease_Master!$Y$7*01_Lease_Master!$Z$7,01_Lease_Master!$X$7)</f>
        <v>809.584346611091</v>
      </c>
      <c r="J85" s="6" t="n">
        <f aca="false">MAX(0,H85-I85)</f>
        <v>119128.83737355</v>
      </c>
      <c r="K85" s="1" t="s">
        <v>162</v>
      </c>
    </row>
    <row r="86" customFormat="false" ht="15" hidden="false" customHeight="true" outlineLevel="0" collapsed="false">
      <c r="A86" s="1" t="s">
        <v>74</v>
      </c>
      <c r="B86" s="1" t="n">
        <v>27</v>
      </c>
      <c r="C86" s="7" t="n">
        <v>46113</v>
      </c>
      <c r="D86" s="6" t="n">
        <f aca="false">H85</f>
        <v>119938.421720162</v>
      </c>
      <c r="E86" s="6" t="n">
        <f aca="false">01_Lease_Master!$W$7</f>
        <v>0.06</v>
      </c>
      <c r="F86" s="6" t="n">
        <f aca="false">D86*((1+E86)^((C86-IF(B86=1,01_Lease_Master!$D$7,C85))/365)-1)</f>
        <v>595.030346020198</v>
      </c>
      <c r="G86" s="1" t="n">
        <f aca="false">IF(C86=01_Lease_Master!$V$7,01_Lease_Master!$U$7,0)</f>
        <v>0</v>
      </c>
      <c r="H86" s="6" t="n">
        <f aca="false">MAX(0,D86+F86-G86)</f>
        <v>120533.452066182</v>
      </c>
      <c r="I86" s="6" t="n">
        <f aca="false">H86*IF(AND(01_Lease_Master!$Y$7&gt;0,01_Lease_Master!$Z$7&gt;0),01_Lease_Master!$Y$7*01_Lease_Master!$Z$7,01_Lease_Master!$X$7)</f>
        <v>813.600801446727</v>
      </c>
      <c r="J86" s="6" t="n">
        <f aca="false">MAX(0,H86-I86)</f>
        <v>119719.851264735</v>
      </c>
      <c r="K86" s="1" t="s">
        <v>162</v>
      </c>
    </row>
    <row r="87" customFormat="false" ht="15" hidden="false" customHeight="true" outlineLevel="0" collapsed="false">
      <c r="A87" s="1" t="s">
        <v>74</v>
      </c>
      <c r="B87" s="1" t="n">
        <v>28</v>
      </c>
      <c r="C87" s="7" t="n">
        <v>46143</v>
      </c>
      <c r="D87" s="6" t="n">
        <f aca="false">H86</f>
        <v>120533.452066182</v>
      </c>
      <c r="E87" s="6" t="n">
        <f aca="false">01_Lease_Master!$W$7</f>
        <v>0.06</v>
      </c>
      <c r="F87" s="6" t="n">
        <f aca="false">D87*((1+E87)^((C87-IF(B87=1,01_Lease_Master!$D$7,C86))/365)-1)</f>
        <v>578.646389128298</v>
      </c>
      <c r="G87" s="1" t="n">
        <f aca="false">IF(C87=01_Lease_Master!$V$7,01_Lease_Master!$U$7,0)</f>
        <v>0</v>
      </c>
      <c r="H87" s="6" t="n">
        <f aca="false">MAX(0,D87+F87-G87)</f>
        <v>121112.09845531</v>
      </c>
      <c r="I87" s="6" t="n">
        <f aca="false">H87*IF(AND(01_Lease_Master!$Y$7&gt;0,01_Lease_Master!$Z$7&gt;0),01_Lease_Master!$Y$7*01_Lease_Master!$Z$7,01_Lease_Master!$X$7)</f>
        <v>817.506664573343</v>
      </c>
      <c r="J87" s="6" t="n">
        <f aca="false">MAX(0,H87-I87)</f>
        <v>120294.591790737</v>
      </c>
      <c r="K87" s="1" t="s">
        <v>162</v>
      </c>
    </row>
    <row r="88" customFormat="false" ht="15" hidden="false" customHeight="true" outlineLevel="0" collapsed="false">
      <c r="A88" s="1" t="s">
        <v>74</v>
      </c>
      <c r="B88" s="1" t="n">
        <v>29</v>
      </c>
      <c r="C88" s="7" t="n">
        <v>46174</v>
      </c>
      <c r="D88" s="6" t="n">
        <f aca="false">H87</f>
        <v>121112.09845531</v>
      </c>
      <c r="E88" s="6" t="n">
        <f aca="false">01_Lease_Master!$W$7</f>
        <v>0.06</v>
      </c>
      <c r="F88" s="6" t="n">
        <f aca="false">D88*((1+E88)^((C88-IF(B88=1,01_Lease_Master!$D$7,C87))/365)-1)</f>
        <v>600.853111267691</v>
      </c>
      <c r="G88" s="1" t="n">
        <f aca="false">IF(C88=01_Lease_Master!$V$7,01_Lease_Master!$U$7,0)</f>
        <v>0</v>
      </c>
      <c r="H88" s="6" t="n">
        <f aca="false">MAX(0,D88+F88-G88)</f>
        <v>121712.951566578</v>
      </c>
      <c r="I88" s="6" t="n">
        <f aca="false">H88*IF(AND(01_Lease_Master!$Y$7&gt;0,01_Lease_Master!$Z$7&gt;0),01_Lease_Master!$Y$7*01_Lease_Master!$Z$7,01_Lease_Master!$X$7)</f>
        <v>821.5624230744</v>
      </c>
      <c r="J88" s="6" t="n">
        <f aca="false">MAX(0,H88-I88)</f>
        <v>120891.389143503</v>
      </c>
      <c r="K88" s="1" t="s">
        <v>162</v>
      </c>
    </row>
    <row r="89" customFormat="false" ht="15" hidden="false" customHeight="true" outlineLevel="0" collapsed="false">
      <c r="A89" s="1" t="s">
        <v>74</v>
      </c>
      <c r="B89" s="1" t="n">
        <v>30</v>
      </c>
      <c r="C89" s="7" t="n">
        <v>46204</v>
      </c>
      <c r="D89" s="6" t="n">
        <f aca="false">H88</f>
        <v>121712.951566578</v>
      </c>
      <c r="E89" s="6" t="n">
        <f aca="false">01_Lease_Master!$W$7</f>
        <v>0.06</v>
      </c>
      <c r="F89" s="6" t="n">
        <f aca="false">D89*((1+E89)^((C89-IF(B89=1,01_Lease_Master!$D$7,C88))/365)-1)</f>
        <v>584.308826527901</v>
      </c>
      <c r="G89" s="1" t="n">
        <f aca="false">IF(C89=01_Lease_Master!$V$7,01_Lease_Master!$U$7,0)</f>
        <v>0</v>
      </c>
      <c r="H89" s="6" t="n">
        <f aca="false">MAX(0,D89+F89-G89)</f>
        <v>122297.260393106</v>
      </c>
      <c r="I89" s="6" t="n">
        <f aca="false">H89*IF(AND(01_Lease_Master!$Y$7&gt;0,01_Lease_Master!$Z$7&gt;0),01_Lease_Master!$Y$7*01_Lease_Master!$Z$7,01_Lease_Master!$X$7)</f>
        <v>825.506507653463</v>
      </c>
      <c r="J89" s="6" t="n">
        <f aca="false">MAX(0,H89-I89)</f>
        <v>121471.753885452</v>
      </c>
      <c r="K89" s="1" t="s">
        <v>162</v>
      </c>
    </row>
    <row r="90" customFormat="false" ht="15" hidden="false" customHeight="true" outlineLevel="0" collapsed="false">
      <c r="A90" s="1" t="s">
        <v>74</v>
      </c>
      <c r="B90" s="1" t="n">
        <v>31</v>
      </c>
      <c r="C90" s="7" t="n">
        <v>46235</v>
      </c>
      <c r="D90" s="6" t="n">
        <f aca="false">H89</f>
        <v>122297.260393106</v>
      </c>
      <c r="E90" s="6" t="n">
        <f aca="false">01_Lease_Master!$W$7</f>
        <v>0.06</v>
      </c>
      <c r="F90" s="6" t="n">
        <f aca="false">D90*((1+E90)^((C90-IF(B90=1,01_Lease_Master!$D$7,C89))/365)-1)</f>
        <v>606.732856121945</v>
      </c>
      <c r="G90" s="1" t="n">
        <f aca="false">IF(C90=01_Lease_Master!$V$7,01_Lease_Master!$U$7,0)</f>
        <v>0</v>
      </c>
      <c r="H90" s="6" t="n">
        <f aca="false">MAX(0,D90+F90-G90)</f>
        <v>122903.993249228</v>
      </c>
      <c r="I90" s="6" t="n">
        <f aca="false">H90*IF(AND(01_Lease_Master!$Y$7&gt;0,01_Lease_Master!$Z$7&gt;0),01_Lease_Master!$Y$7*01_Lease_Master!$Z$7,01_Lease_Master!$X$7)</f>
        <v>829.601954432286</v>
      </c>
      <c r="J90" s="6" t="n">
        <f aca="false">MAX(0,H90-I90)</f>
        <v>122074.391294795</v>
      </c>
      <c r="K90" s="1" t="s">
        <v>162</v>
      </c>
    </row>
    <row r="91" customFormat="false" ht="15" hidden="false" customHeight="true" outlineLevel="0" collapsed="false">
      <c r="A91" s="1" t="s">
        <v>74</v>
      </c>
      <c r="B91" s="1" t="n">
        <v>32</v>
      </c>
      <c r="C91" s="7" t="n">
        <v>46266</v>
      </c>
      <c r="D91" s="6" t="n">
        <f aca="false">H90</f>
        <v>122903.993249228</v>
      </c>
      <c r="E91" s="6" t="n">
        <f aca="false">01_Lease_Master!$W$7</f>
        <v>0.06</v>
      </c>
      <c r="F91" s="6" t="n">
        <f aca="false">D91*((1+E91)^((C91-IF(B91=1,01_Lease_Master!$D$7,C90))/365)-1)</f>
        <v>609.742937930111</v>
      </c>
      <c r="G91" s="1" t="n">
        <f aca="false">IF(C91=01_Lease_Master!$V$7,01_Lease_Master!$U$7,0)</f>
        <v>0</v>
      </c>
      <c r="H91" s="6" t="n">
        <f aca="false">MAX(0,D91+F91-G91)</f>
        <v>123513.736187158</v>
      </c>
      <c r="I91" s="6" t="n">
        <f aca="false">H91*IF(AND(01_Lease_Master!$Y$7&gt;0,01_Lease_Master!$Z$7&gt;0),01_Lease_Master!$Y$7*01_Lease_Master!$Z$7,01_Lease_Master!$X$7)</f>
        <v>833.717719263315</v>
      </c>
      <c r="J91" s="6" t="n">
        <f aca="false">MAX(0,H91-I91)</f>
        <v>122680.018467894</v>
      </c>
      <c r="K91" s="1" t="s">
        <v>162</v>
      </c>
    </row>
    <row r="92" customFormat="false" ht="15" hidden="false" customHeight="true" outlineLevel="0" collapsed="false">
      <c r="A92" s="1" t="s">
        <v>74</v>
      </c>
      <c r="B92" s="1" t="n">
        <v>33</v>
      </c>
      <c r="C92" s="7" t="n">
        <v>46271</v>
      </c>
      <c r="D92" s="6" t="n">
        <f aca="false">H91</f>
        <v>123513.736187158</v>
      </c>
      <c r="E92" s="6" t="n">
        <f aca="false">01_Lease_Master!$W$7</f>
        <v>0.06</v>
      </c>
      <c r="F92" s="6" t="n">
        <f aca="false">D92*((1+E92)^((C92-IF(B92=1,01_Lease_Master!$D$7,C91))/365)-1)</f>
        <v>98.6285431839391</v>
      </c>
      <c r="G92" s="1" t="n">
        <f aca="false">IF(C92=01_Lease_Master!$V$7,01_Lease_Master!$U$7,0)</f>
        <v>0</v>
      </c>
      <c r="H92" s="6" t="n">
        <f aca="false">MAX(0,D92+F92-G92)</f>
        <v>123612.364730342</v>
      </c>
      <c r="I92" s="6" t="n">
        <f aca="false">H92*IF(AND(01_Lease_Master!$Y$7&gt;0,01_Lease_Master!$Z$7&gt;0),01_Lease_Master!$Y$7*01_Lease_Master!$Z$7,01_Lease_Master!$X$7)</f>
        <v>834.383461929806</v>
      </c>
      <c r="J92" s="6" t="n">
        <f aca="false">MAX(0,H92-I92)</f>
        <v>122777.981268412</v>
      </c>
      <c r="K92" s="1" t="s">
        <v>162</v>
      </c>
    </row>
    <row r="93" customFormat="false" ht="15" hidden="false" customHeight="true" outlineLevel="0" collapsed="false">
      <c r="A93" s="1" t="s">
        <v>80</v>
      </c>
      <c r="B93" s="1" t="n">
        <v>1</v>
      </c>
      <c r="C93" s="7" t="n">
        <v>46143</v>
      </c>
      <c r="D93" s="6" t="n">
        <f aca="false">IF(01_Lease_Master!$D$8&gt;$B$3,0,ROUND(01_Lease_Master!$U$8-03_Initial_Recognition!$H$8,2))</f>
        <v>149451.63</v>
      </c>
      <c r="E93" s="6" t="n">
        <f aca="false">01_Lease_Master!$W$8</f>
        <v>0.06</v>
      </c>
      <c r="F93" s="6" t="n">
        <f aca="false">D93*((1+E93)^((C93-IF(B93=1,01_Lease_Master!$D$8,C92))/365)-1)</f>
        <v>717.474232807625</v>
      </c>
      <c r="G93" s="1" t="n">
        <f aca="false">IF(C93=01_Lease_Master!$V$8,01_Lease_Master!$U$8,0)</f>
        <v>0</v>
      </c>
      <c r="H93" s="6" t="n">
        <f aca="false">MAX(0,D93+F93-G93)</f>
        <v>150169.104232808</v>
      </c>
      <c r="I93" s="6" t="n">
        <f aca="false">H93*IF(AND(01_Lease_Master!$Y$8&gt;0,01_Lease_Master!$Z$8&gt;0),01_Lease_Master!$Y$8*01_Lease_Master!$Z$8,01_Lease_Master!$X$8)</f>
        <v>1501.69104232808</v>
      </c>
      <c r="J93" s="6" t="n">
        <f aca="false">MAX(0,H93-I93)</f>
        <v>148667.41319048</v>
      </c>
      <c r="K93" s="1" t="s">
        <v>162</v>
      </c>
    </row>
    <row r="94" customFormat="false" ht="15" hidden="false" customHeight="true" outlineLevel="0" collapsed="false">
      <c r="A94" s="1" t="s">
        <v>80</v>
      </c>
      <c r="B94" s="1" t="n">
        <v>2</v>
      </c>
      <c r="C94" s="7" t="n">
        <v>46174</v>
      </c>
      <c r="D94" s="6" t="n">
        <f aca="false">H93</f>
        <v>150169.104232808</v>
      </c>
      <c r="E94" s="6" t="n">
        <f aca="false">01_Lease_Master!$W$8</f>
        <v>0.06</v>
      </c>
      <c r="F94" s="6" t="n">
        <f aca="false">D94*((1+E94)^((C94-IF(B94=1,01_Lease_Master!$D$8,C93))/365)-1)</f>
        <v>745.008753422425</v>
      </c>
      <c r="G94" s="1" t="n">
        <f aca="false">IF(C94=01_Lease_Master!$V$8,01_Lease_Master!$U$8,0)</f>
        <v>0</v>
      </c>
      <c r="H94" s="6" t="n">
        <f aca="false">MAX(0,D94+F94-G94)</f>
        <v>150914.11298623</v>
      </c>
      <c r="I94" s="6" t="n">
        <f aca="false">H94*IF(AND(01_Lease_Master!$Y$8&gt;0,01_Lease_Master!$Z$8&gt;0),01_Lease_Master!$Y$8*01_Lease_Master!$Z$8,01_Lease_Master!$X$8)</f>
        <v>1509.1411298623</v>
      </c>
      <c r="J94" s="6" t="n">
        <f aca="false">MAX(0,H94-I94)</f>
        <v>149404.971856368</v>
      </c>
      <c r="K94" s="1" t="s">
        <v>162</v>
      </c>
    </row>
    <row r="95" customFormat="false" ht="15" hidden="false" customHeight="true" outlineLevel="0" collapsed="false">
      <c r="A95" s="1" t="s">
        <v>80</v>
      </c>
      <c r="B95" s="1" t="n">
        <v>3</v>
      </c>
      <c r="C95" s="7" t="n">
        <v>46204</v>
      </c>
      <c r="D95" s="6" t="n">
        <f aca="false">H94</f>
        <v>150914.11298623</v>
      </c>
      <c r="E95" s="6" t="n">
        <f aca="false">01_Lease_Master!$W$8</f>
        <v>0.06</v>
      </c>
      <c r="F95" s="6" t="n">
        <f aca="false">D95*((1+E95)^((C95-IF(B95=1,01_Lease_Master!$D$8,C94))/365)-1)</f>
        <v>724.495192422047</v>
      </c>
      <c r="G95" s="1" t="n">
        <f aca="false">IF(C95=01_Lease_Master!$V$8,01_Lease_Master!$U$8,0)</f>
        <v>0</v>
      </c>
      <c r="H95" s="6" t="n">
        <f aca="false">MAX(0,D95+F95-G95)</f>
        <v>151638.608178652</v>
      </c>
      <c r="I95" s="6" t="n">
        <f aca="false">H95*IF(AND(01_Lease_Master!$Y$8&gt;0,01_Lease_Master!$Z$8&gt;0),01_Lease_Master!$Y$8*01_Lease_Master!$Z$8,01_Lease_Master!$X$8)</f>
        <v>1516.38608178652</v>
      </c>
      <c r="J95" s="6" t="n">
        <f aca="false">MAX(0,H95-I95)</f>
        <v>150122.222096866</v>
      </c>
      <c r="K95" s="1" t="s">
        <v>162</v>
      </c>
    </row>
    <row r="96" customFormat="false" ht="15" hidden="false" customHeight="true" outlineLevel="0" collapsed="false">
      <c r="A96" s="1" t="s">
        <v>80</v>
      </c>
      <c r="B96" s="1" t="n">
        <v>4</v>
      </c>
      <c r="C96" s="7" t="n">
        <v>46235</v>
      </c>
      <c r="D96" s="6" t="n">
        <f aca="false">H95</f>
        <v>151638.608178652</v>
      </c>
      <c r="E96" s="6" t="n">
        <f aca="false">01_Lease_Master!$W$8</f>
        <v>0.06</v>
      </c>
      <c r="F96" s="6" t="n">
        <f aca="false">D96*((1+E96)^((C96-IF(B96=1,01_Lease_Master!$D$8,C95))/365)-1)</f>
        <v>752.299156521225</v>
      </c>
      <c r="G96" s="1" t="n">
        <f aca="false">IF(C96=01_Lease_Master!$V$8,01_Lease_Master!$U$8,0)</f>
        <v>0</v>
      </c>
      <c r="H96" s="6" t="n">
        <f aca="false">MAX(0,D96+F96-G96)</f>
        <v>152390.907335173</v>
      </c>
      <c r="I96" s="6" t="n">
        <f aca="false">H96*IF(AND(01_Lease_Master!$Y$8&gt;0,01_Lease_Master!$Z$8&gt;0),01_Lease_Master!$Y$8*01_Lease_Master!$Z$8,01_Lease_Master!$X$8)</f>
        <v>1523.90907335173</v>
      </c>
      <c r="J96" s="6" t="n">
        <f aca="false">MAX(0,H96-I96)</f>
        <v>150866.998261822</v>
      </c>
      <c r="K96" s="1" t="s">
        <v>162</v>
      </c>
    </row>
    <row r="97" customFormat="false" ht="15" hidden="false" customHeight="true" outlineLevel="0" collapsed="false">
      <c r="A97" s="1" t="s">
        <v>80</v>
      </c>
      <c r="B97" s="1" t="n">
        <v>5</v>
      </c>
      <c r="C97" s="7" t="n">
        <v>46266</v>
      </c>
      <c r="D97" s="6" t="n">
        <f aca="false">H96</f>
        <v>152390.907335173</v>
      </c>
      <c r="E97" s="6" t="n">
        <f aca="false">01_Lease_Master!$W$8</f>
        <v>0.06</v>
      </c>
      <c r="F97" s="6" t="n">
        <f aca="false">D97*((1+E97)^((C97-IF(B97=1,01_Lease_Master!$D$8,C96))/365)-1)</f>
        <v>756.031411965273</v>
      </c>
      <c r="G97" s="1" t="n">
        <f aca="false">IF(C97=01_Lease_Master!$V$8,01_Lease_Master!$U$8,0)</f>
        <v>0</v>
      </c>
      <c r="H97" s="6" t="n">
        <f aca="false">MAX(0,D97+F97-G97)</f>
        <v>153146.938747139</v>
      </c>
      <c r="I97" s="6" t="n">
        <f aca="false">H97*IF(AND(01_Lease_Master!$Y$8&gt;0,01_Lease_Master!$Z$8&gt;0),01_Lease_Master!$Y$8*01_Lease_Master!$Z$8,01_Lease_Master!$X$8)</f>
        <v>1531.46938747139</v>
      </c>
      <c r="J97" s="6" t="n">
        <f aca="false">MAX(0,H97-I97)</f>
        <v>151615.469359667</v>
      </c>
      <c r="K97" s="1" t="s">
        <v>162</v>
      </c>
    </row>
    <row r="98" customFormat="false" ht="15" hidden="false" customHeight="true" outlineLevel="0" collapsed="false">
      <c r="A98" s="1" t="s">
        <v>80</v>
      </c>
      <c r="B98" s="1" t="n">
        <v>6</v>
      </c>
      <c r="C98" s="7" t="n">
        <v>46271</v>
      </c>
      <c r="D98" s="6" t="n">
        <f aca="false">H97</f>
        <v>153146.938747139</v>
      </c>
      <c r="E98" s="6" t="n">
        <f aca="false">01_Lease_Master!$W$8</f>
        <v>0.06</v>
      </c>
      <c r="F98" s="6" t="n">
        <f aca="false">D98*((1+E98)^((C98-IF(B98=1,01_Lease_Master!$D$8,C97))/365)-1)</f>
        <v>122.291333158463</v>
      </c>
      <c r="G98" s="1" t="n">
        <f aca="false">IF(C98=01_Lease_Master!$V$8,01_Lease_Master!$U$8,0)</f>
        <v>0</v>
      </c>
      <c r="H98" s="6" t="n">
        <f aca="false">MAX(0,D98+F98-G98)</f>
        <v>153269.230080297</v>
      </c>
      <c r="I98" s="6" t="n">
        <f aca="false">H98*IF(AND(01_Lease_Master!$Y$8&gt;0,01_Lease_Master!$Z$8&gt;0),01_Lease_Master!$Y$8*01_Lease_Master!$Z$8,01_Lease_Master!$X$8)</f>
        <v>1532.69230080297</v>
      </c>
      <c r="J98" s="6" t="n">
        <f aca="false">MAX(0,H98-I98)</f>
        <v>151736.537779494</v>
      </c>
      <c r="K98" s="1" t="s">
        <v>162</v>
      </c>
    </row>
    <row r="99" customFormat="false" ht="15" hidden="false" customHeight="true" outlineLevel="0" collapsed="false">
      <c r="A99" s="1" t="s">
        <v>88</v>
      </c>
      <c r="B99" s="1" t="n">
        <v>1</v>
      </c>
      <c r="C99" s="7" t="n">
        <v>45139</v>
      </c>
      <c r="D99" s="6" t="n">
        <f aca="false">IF(01_Lease_Master!$D$10&gt;$B$3,0,ROUND(01_Lease_Master!$U$10-03_Initial_Recognition!$H$10,2))</f>
        <v>74713.89</v>
      </c>
      <c r="E99" s="6" t="n">
        <f aca="false">01_Lease_Master!$W$10</f>
        <v>0.06</v>
      </c>
      <c r="F99" s="6" t="n">
        <f aca="false">D99*((1+E99)^((C99-IF(B99=1,01_Lease_Master!$D$10,C98))/365)-1)</f>
        <v>370.665473011988</v>
      </c>
      <c r="G99" s="1" t="n">
        <f aca="false">IF(C99=01_Lease_Master!$V$10,01_Lease_Master!$U$10,0)</f>
        <v>0</v>
      </c>
      <c r="H99" s="6" t="n">
        <f aca="false">MAX(0,D99+F99-G99)</f>
        <v>75084.555473012</v>
      </c>
      <c r="I99" s="6" t="n">
        <f aca="false">H99*IF(AND(01_Lease_Master!$Y$10&gt;0,01_Lease_Master!$Z$10&gt;0),01_Lease_Master!$Y$10*01_Lease_Master!$Z$10,01_Lease_Master!$X$10)</f>
        <v>1032.41263775392</v>
      </c>
      <c r="J99" s="6" t="n">
        <f aca="false">MAX(0,H99-I99)</f>
        <v>74052.1428352581</v>
      </c>
      <c r="K99" s="1" t="s">
        <v>162</v>
      </c>
    </row>
    <row r="100" customFormat="false" ht="15" hidden="false" customHeight="true" outlineLevel="0" collapsed="false">
      <c r="A100" s="1" t="s">
        <v>88</v>
      </c>
      <c r="B100" s="1" t="n">
        <v>2</v>
      </c>
      <c r="C100" s="7" t="n">
        <v>45170</v>
      </c>
      <c r="D100" s="6" t="n">
        <f aca="false">H99</f>
        <v>75084.555473012</v>
      </c>
      <c r="E100" s="6" t="n">
        <f aca="false">01_Lease_Master!$W$10</f>
        <v>0.06</v>
      </c>
      <c r="F100" s="6" t="n">
        <f aca="false">D100*((1+E100)^((C100-IF(B100=1,01_Lease_Master!$D$10,C99))/365)-1)</f>
        <v>372.504393363789</v>
      </c>
      <c r="G100" s="1" t="n">
        <f aca="false">IF(C100=01_Lease_Master!$V$10,01_Lease_Master!$U$10,0)</f>
        <v>0</v>
      </c>
      <c r="H100" s="6" t="n">
        <f aca="false">MAX(0,D100+F100-G100)</f>
        <v>75457.0598663758</v>
      </c>
      <c r="I100" s="6" t="n">
        <f aca="false">H100*IF(AND(01_Lease_Master!$Y$10&gt;0,01_Lease_Master!$Z$10&gt;0),01_Lease_Master!$Y$10*01_Lease_Master!$Z$10,01_Lease_Master!$X$10)</f>
        <v>1037.53457316267</v>
      </c>
      <c r="J100" s="6" t="n">
        <f aca="false">MAX(0,H100-I100)</f>
        <v>74419.5252932131</v>
      </c>
      <c r="K100" s="1" t="s">
        <v>162</v>
      </c>
    </row>
    <row r="101" customFormat="false" ht="15" hidden="false" customHeight="true" outlineLevel="0" collapsed="false">
      <c r="A101" s="1" t="s">
        <v>88</v>
      </c>
      <c r="B101" s="1" t="n">
        <v>3</v>
      </c>
      <c r="C101" s="7" t="n">
        <v>45200</v>
      </c>
      <c r="D101" s="6" t="n">
        <f aca="false">H100</f>
        <v>75457.0598663758</v>
      </c>
      <c r="E101" s="6" t="n">
        <f aca="false">01_Lease_Master!$W$10</f>
        <v>0.06</v>
      </c>
      <c r="F101" s="6" t="n">
        <f aca="false">D101*((1+E101)^((C101-IF(B101=1,01_Lease_Master!$D$10,C100))/365)-1)</f>
        <v>362.247612405077</v>
      </c>
      <c r="G101" s="1" t="n">
        <f aca="false">IF(C101=01_Lease_Master!$V$10,01_Lease_Master!$U$10,0)</f>
        <v>0</v>
      </c>
      <c r="H101" s="6" t="n">
        <f aca="false">MAX(0,D101+F101-G101)</f>
        <v>75819.3074787809</v>
      </c>
      <c r="I101" s="6" t="n">
        <f aca="false">H101*IF(AND(01_Lease_Master!$Y$10&gt;0,01_Lease_Master!$Z$10&gt;0),01_Lease_Master!$Y$10*01_Lease_Master!$Z$10,01_Lease_Master!$X$10)</f>
        <v>1042.51547783324</v>
      </c>
      <c r="J101" s="6" t="n">
        <f aca="false">MAX(0,H101-I101)</f>
        <v>74776.7920009476</v>
      </c>
      <c r="K101" s="1" t="s">
        <v>162</v>
      </c>
    </row>
    <row r="102" customFormat="false" ht="15" hidden="false" customHeight="true" outlineLevel="0" collapsed="false">
      <c r="A102" s="1" t="s">
        <v>88</v>
      </c>
      <c r="B102" s="1" t="n">
        <v>4</v>
      </c>
      <c r="C102" s="7" t="n">
        <v>45231</v>
      </c>
      <c r="D102" s="6" t="n">
        <f aca="false">H101</f>
        <v>75819.3074787809</v>
      </c>
      <c r="E102" s="6" t="n">
        <f aca="false">01_Lease_Master!$W$10</f>
        <v>0.06</v>
      </c>
      <c r="F102" s="6" t="n">
        <f aca="false">D102*((1+E102)^((C102-IF(B102=1,01_Lease_Master!$D$10,C101))/365)-1)</f>
        <v>376.149595076146</v>
      </c>
      <c r="G102" s="1" t="n">
        <f aca="false">IF(C102=01_Lease_Master!$V$10,01_Lease_Master!$U$10,0)</f>
        <v>0</v>
      </c>
      <c r="H102" s="6" t="n">
        <f aca="false">MAX(0,D102+F102-G102)</f>
        <v>76195.457073857</v>
      </c>
      <c r="I102" s="6" t="n">
        <f aca="false">H102*IF(AND(01_Lease_Master!$Y$10&gt;0,01_Lease_Master!$Z$10&gt;0),01_Lease_Master!$Y$10*01_Lease_Master!$Z$10,01_Lease_Master!$X$10)</f>
        <v>1047.68753476553</v>
      </c>
      <c r="J102" s="6" t="n">
        <f aca="false">MAX(0,H102-I102)</f>
        <v>75147.7695390915</v>
      </c>
      <c r="K102" s="1" t="s">
        <v>162</v>
      </c>
    </row>
    <row r="103" customFormat="false" ht="15" hidden="false" customHeight="true" outlineLevel="0" collapsed="false">
      <c r="A103" s="1" t="s">
        <v>88</v>
      </c>
      <c r="B103" s="1" t="n">
        <v>5</v>
      </c>
      <c r="C103" s="7" t="n">
        <v>45261</v>
      </c>
      <c r="D103" s="6" t="n">
        <f aca="false">H102</f>
        <v>76195.457073857</v>
      </c>
      <c r="E103" s="6" t="n">
        <f aca="false">01_Lease_Master!$W$10</f>
        <v>0.06</v>
      </c>
      <c r="F103" s="6" t="n">
        <f aca="false">D103*((1+E103)^((C103-IF(B103=1,01_Lease_Master!$D$10,C102))/365)-1)</f>
        <v>365.792444736079</v>
      </c>
      <c r="G103" s="1" t="n">
        <f aca="false">IF(C103=01_Lease_Master!$V$10,01_Lease_Master!$U$10,0)</f>
        <v>0</v>
      </c>
      <c r="H103" s="6" t="n">
        <f aca="false">MAX(0,D103+F103-G103)</f>
        <v>76561.2495185931</v>
      </c>
      <c r="I103" s="6" t="n">
        <f aca="false">H103*IF(AND(01_Lease_Master!$Y$10&gt;0,01_Lease_Master!$Z$10&gt;0),01_Lease_Master!$Y$10*01_Lease_Master!$Z$10,01_Lease_Master!$X$10)</f>
        <v>1052.71718088066</v>
      </c>
      <c r="J103" s="6" t="n">
        <f aca="false">MAX(0,H103-I103)</f>
        <v>75508.5323377124</v>
      </c>
      <c r="K103" s="1" t="s">
        <v>162</v>
      </c>
    </row>
    <row r="104" customFormat="false" ht="15" hidden="false" customHeight="true" outlineLevel="0" collapsed="false">
      <c r="A104" s="1" t="s">
        <v>88</v>
      </c>
      <c r="B104" s="1" t="n">
        <v>6</v>
      </c>
      <c r="C104" s="7" t="n">
        <v>45292</v>
      </c>
      <c r="D104" s="6" t="n">
        <f aca="false">H103</f>
        <v>76561.2495185931</v>
      </c>
      <c r="E104" s="6" t="n">
        <f aca="false">01_Lease_Master!$W$10</f>
        <v>0.06</v>
      </c>
      <c r="F104" s="6" t="n">
        <f aca="false">D104*((1+E104)^((C104-IF(B104=1,01_Lease_Master!$D$10,C103))/365)-1)</f>
        <v>379.830467496715</v>
      </c>
      <c r="G104" s="1" t="n">
        <f aca="false">IF(C104=01_Lease_Master!$V$10,01_Lease_Master!$U$10,0)</f>
        <v>0</v>
      </c>
      <c r="H104" s="6" t="n">
        <f aca="false">MAX(0,D104+F104-G104)</f>
        <v>76941.0799860898</v>
      </c>
      <c r="I104" s="6" t="n">
        <f aca="false">H104*IF(AND(01_Lease_Master!$Y$10&gt;0,01_Lease_Master!$Z$10&gt;0),01_Lease_Master!$Y$10*01_Lease_Master!$Z$10,01_Lease_Master!$X$10)</f>
        <v>1057.93984980874</v>
      </c>
      <c r="J104" s="6" t="n">
        <f aca="false">MAX(0,H104-I104)</f>
        <v>75883.1401362811</v>
      </c>
      <c r="K104" s="1" t="s">
        <v>162</v>
      </c>
    </row>
    <row r="105" customFormat="false" ht="15" hidden="false" customHeight="true" outlineLevel="0" collapsed="false">
      <c r="A105" s="1" t="s">
        <v>88</v>
      </c>
      <c r="B105" s="1" t="n">
        <v>7</v>
      </c>
      <c r="C105" s="7" t="n">
        <v>45323</v>
      </c>
      <c r="D105" s="6" t="n">
        <f aca="false">H104</f>
        <v>76941.0799860898</v>
      </c>
      <c r="E105" s="6" t="n">
        <f aca="false">01_Lease_Master!$W$10</f>
        <v>0.06</v>
      </c>
      <c r="F105" s="6" t="n">
        <f aca="false">D105*((1+E105)^((C105-IF(B105=1,01_Lease_Master!$D$10,C104))/365)-1)</f>
        <v>381.714856596239</v>
      </c>
      <c r="G105" s="1" t="n">
        <f aca="false">IF(C105=01_Lease_Master!$V$10,01_Lease_Master!$U$10,0)</f>
        <v>0</v>
      </c>
      <c r="H105" s="6" t="n">
        <f aca="false">MAX(0,D105+F105-G105)</f>
        <v>77322.7948426861</v>
      </c>
      <c r="I105" s="6" t="n">
        <f aca="false">H105*IF(AND(01_Lease_Master!$Y$10&gt;0,01_Lease_Master!$Z$10&gt;0),01_Lease_Master!$Y$10*01_Lease_Master!$Z$10,01_Lease_Master!$X$10)</f>
        <v>1063.18842908693</v>
      </c>
      <c r="J105" s="6" t="n">
        <f aca="false">MAX(0,H105-I105)</f>
        <v>76259.6064135991</v>
      </c>
      <c r="K105" s="1" t="s">
        <v>162</v>
      </c>
    </row>
    <row r="106" customFormat="false" ht="15" hidden="false" customHeight="true" outlineLevel="0" collapsed="false">
      <c r="A106" s="1" t="s">
        <v>88</v>
      </c>
      <c r="B106" s="1" t="n">
        <v>8</v>
      </c>
      <c r="C106" s="7" t="n">
        <v>45352</v>
      </c>
      <c r="D106" s="6" t="n">
        <f aca="false">H105</f>
        <v>77322.7948426861</v>
      </c>
      <c r="E106" s="6" t="n">
        <f aca="false">01_Lease_Master!$W$10</f>
        <v>0.06</v>
      </c>
      <c r="F106" s="6" t="n">
        <f aca="false">D106*((1+E106)^((C106-IF(B106=1,01_Lease_Master!$D$10,C105))/365)-1)</f>
        <v>358.802323018684</v>
      </c>
      <c r="G106" s="1" t="n">
        <f aca="false">IF(C106=01_Lease_Master!$V$10,01_Lease_Master!$U$10,0)</f>
        <v>0</v>
      </c>
      <c r="H106" s="6" t="n">
        <f aca="false">MAX(0,D106+F106-G106)</f>
        <v>77681.5971657047</v>
      </c>
      <c r="I106" s="6" t="n">
        <f aca="false">H106*IF(AND(01_Lease_Master!$Y$10&gt;0,01_Lease_Master!$Z$10&gt;0),01_Lease_Master!$Y$10*01_Lease_Master!$Z$10,01_Lease_Master!$X$10)</f>
        <v>1068.12196102844</v>
      </c>
      <c r="J106" s="6" t="n">
        <f aca="false">MAX(0,H106-I106)</f>
        <v>76613.4752046763</v>
      </c>
      <c r="K106" s="1" t="s">
        <v>162</v>
      </c>
    </row>
    <row r="107" customFormat="false" ht="15" hidden="false" customHeight="true" outlineLevel="0" collapsed="false">
      <c r="A107" s="1" t="s">
        <v>88</v>
      </c>
      <c r="B107" s="1" t="n">
        <v>9</v>
      </c>
      <c r="C107" s="7" t="n">
        <v>45383</v>
      </c>
      <c r="D107" s="6" t="n">
        <f aca="false">H106</f>
        <v>77681.5971657047</v>
      </c>
      <c r="E107" s="6" t="n">
        <f aca="false">01_Lease_Master!$W$10</f>
        <v>0.06</v>
      </c>
      <c r="F107" s="6" t="n">
        <f aca="false">D107*((1+E107)^((C107-IF(B107=1,01_Lease_Master!$D$10,C106))/365)-1)</f>
        <v>385.388660097241</v>
      </c>
      <c r="G107" s="1" t="n">
        <f aca="false">IF(C107=01_Lease_Master!$V$10,01_Lease_Master!$U$10,0)</f>
        <v>0</v>
      </c>
      <c r="H107" s="6" t="n">
        <f aca="false">MAX(0,D107+F107-G107)</f>
        <v>78066.985825802</v>
      </c>
      <c r="I107" s="6" t="n">
        <f aca="false">H107*IF(AND(01_Lease_Master!$Y$10&gt;0,01_Lease_Master!$Z$10&gt;0),01_Lease_Master!$Y$10*01_Lease_Master!$Z$10,01_Lease_Master!$X$10)</f>
        <v>1073.42105510478</v>
      </c>
      <c r="J107" s="6" t="n">
        <f aca="false">MAX(0,H107-I107)</f>
        <v>76993.5647706972</v>
      </c>
      <c r="K107" s="1" t="s">
        <v>162</v>
      </c>
    </row>
    <row r="108" customFormat="false" ht="15" hidden="false" customHeight="true" outlineLevel="0" collapsed="false">
      <c r="A108" s="1" t="s">
        <v>88</v>
      </c>
      <c r="B108" s="1" t="n">
        <v>10</v>
      </c>
      <c r="C108" s="7" t="n">
        <v>45413</v>
      </c>
      <c r="D108" s="6" t="n">
        <f aca="false">H107</f>
        <v>78066.985825802</v>
      </c>
      <c r="E108" s="6" t="n">
        <f aca="false">01_Lease_Master!$W$10</f>
        <v>0.06</v>
      </c>
      <c r="F108" s="6" t="n">
        <f aca="false">D108*((1+E108)^((C108-IF(B108=1,01_Lease_Master!$D$10,C107))/365)-1)</f>
        <v>374.777115264457</v>
      </c>
      <c r="G108" s="1" t="n">
        <f aca="false">IF(C108=01_Lease_Master!$V$10,01_Lease_Master!$U$10,0)</f>
        <v>0</v>
      </c>
      <c r="H108" s="6" t="n">
        <f aca="false">MAX(0,D108+F108-G108)</f>
        <v>78441.7629410664</v>
      </c>
      <c r="I108" s="6" t="n">
        <f aca="false">H108*IF(AND(01_Lease_Master!$Y$10&gt;0,01_Lease_Master!$Z$10&gt;0),01_Lease_Master!$Y$10*01_Lease_Master!$Z$10,01_Lease_Master!$X$10)</f>
        <v>1078.57424043966</v>
      </c>
      <c r="J108" s="6" t="n">
        <f aca="false">MAX(0,H108-I108)</f>
        <v>77363.1887006268</v>
      </c>
      <c r="K108" s="1" t="s">
        <v>162</v>
      </c>
    </row>
    <row r="109" customFormat="false" ht="15" hidden="false" customHeight="true" outlineLevel="0" collapsed="false">
      <c r="A109" s="1" t="s">
        <v>88</v>
      </c>
      <c r="B109" s="1" t="n">
        <v>11</v>
      </c>
      <c r="C109" s="7" t="n">
        <v>45444</v>
      </c>
      <c r="D109" s="6" t="n">
        <f aca="false">H108</f>
        <v>78441.7629410664</v>
      </c>
      <c r="E109" s="6" t="n">
        <f aca="false">01_Lease_Master!$W$10</f>
        <v>0.06</v>
      </c>
      <c r="F109" s="6" t="n">
        <f aca="false">D109*((1+E109)^((C109-IF(B109=1,01_Lease_Master!$D$10,C108))/365)-1)</f>
        <v>389.159942876012</v>
      </c>
      <c r="G109" s="1" t="n">
        <f aca="false">IF(C109=01_Lease_Master!$V$10,01_Lease_Master!$U$10,0)</f>
        <v>0</v>
      </c>
      <c r="H109" s="6" t="n">
        <f aca="false">MAX(0,D109+F109-G109)</f>
        <v>78830.9228839425</v>
      </c>
      <c r="I109" s="6" t="n">
        <f aca="false">H109*IF(AND(01_Lease_Master!$Y$10&gt;0,01_Lease_Master!$Z$10&gt;0),01_Lease_Master!$Y$10*01_Lease_Master!$Z$10,01_Lease_Master!$X$10)</f>
        <v>1083.92518965421</v>
      </c>
      <c r="J109" s="6" t="n">
        <f aca="false">MAX(0,H109-I109)</f>
        <v>77746.9976942882</v>
      </c>
      <c r="K109" s="1" t="s">
        <v>162</v>
      </c>
    </row>
    <row r="110" customFormat="false" ht="15" hidden="false" customHeight="true" outlineLevel="0" collapsed="false">
      <c r="A110" s="1" t="s">
        <v>88</v>
      </c>
      <c r="B110" s="1" t="n">
        <v>12</v>
      </c>
      <c r="C110" s="7" t="n">
        <v>45474</v>
      </c>
      <c r="D110" s="6" t="n">
        <f aca="false">H109</f>
        <v>78830.9228839425</v>
      </c>
      <c r="E110" s="6" t="n">
        <f aca="false">01_Lease_Master!$W$10</f>
        <v>0.06</v>
      </c>
      <c r="F110" s="6" t="n">
        <f aca="false">D110*((1+E110)^((C110-IF(B110=1,01_Lease_Master!$D$10,C109))/365)-1)</f>
        <v>378.444557062868</v>
      </c>
      <c r="G110" s="1" t="n">
        <f aca="false">IF(C110=01_Lease_Master!$V$10,01_Lease_Master!$U$10,0)</f>
        <v>0</v>
      </c>
      <c r="H110" s="6" t="n">
        <f aca="false">MAX(0,D110+F110-G110)</f>
        <v>79209.3674410053</v>
      </c>
      <c r="I110" s="6" t="n">
        <f aca="false">H110*IF(AND(01_Lease_Master!$Y$10&gt;0,01_Lease_Master!$Z$10&gt;0),01_Lease_Master!$Y$10*01_Lease_Master!$Z$10,01_Lease_Master!$X$10)</f>
        <v>1089.12880231382</v>
      </c>
      <c r="J110" s="6" t="n">
        <f aca="false">MAX(0,H110-I110)</f>
        <v>78120.2386386915</v>
      </c>
      <c r="K110" s="1" t="s">
        <v>162</v>
      </c>
    </row>
    <row r="111" customFormat="false" ht="15" hidden="false" customHeight="true" outlineLevel="0" collapsed="false">
      <c r="A111" s="1" t="s">
        <v>88</v>
      </c>
      <c r="B111" s="1" t="n">
        <v>13</v>
      </c>
      <c r="C111" s="7" t="n">
        <v>45505</v>
      </c>
      <c r="D111" s="6" t="n">
        <f aca="false">H110</f>
        <v>79209.3674410053</v>
      </c>
      <c r="E111" s="6" t="n">
        <f aca="false">01_Lease_Master!$W$10</f>
        <v>0.06</v>
      </c>
      <c r="F111" s="6" t="n">
        <f aca="false">D111*((1+E111)^((C111-IF(B111=1,01_Lease_Master!$D$10,C110))/365)-1)</f>
        <v>392.968130149569</v>
      </c>
      <c r="G111" s="1" t="n">
        <f aca="false">IF(C111=01_Lease_Master!$V$10,01_Lease_Master!$U$10,0)</f>
        <v>0</v>
      </c>
      <c r="H111" s="6" t="n">
        <f aca="false">MAX(0,D111+F111-G111)</f>
        <v>79602.3355711549</v>
      </c>
      <c r="I111" s="6" t="n">
        <f aca="false">H111*IF(AND(01_Lease_Master!$Y$10&gt;0,01_Lease_Master!$Z$10&gt;0),01_Lease_Master!$Y$10*01_Lease_Master!$Z$10,01_Lease_Master!$X$10)</f>
        <v>1094.53211410338</v>
      </c>
      <c r="J111" s="6" t="n">
        <f aca="false">MAX(0,H111-I111)</f>
        <v>78507.8034570515</v>
      </c>
      <c r="K111" s="1" t="s">
        <v>162</v>
      </c>
    </row>
    <row r="112" customFormat="false" ht="15" hidden="false" customHeight="true" outlineLevel="0" collapsed="false">
      <c r="A112" s="1" t="s">
        <v>88</v>
      </c>
      <c r="B112" s="1" t="n">
        <v>14</v>
      </c>
      <c r="C112" s="7" t="n">
        <v>45536</v>
      </c>
      <c r="D112" s="6" t="n">
        <f aca="false">H111</f>
        <v>79602.3355711549</v>
      </c>
      <c r="E112" s="6" t="n">
        <f aca="false">01_Lease_Master!$W$10</f>
        <v>0.06</v>
      </c>
      <c r="F112" s="6" t="n">
        <f aca="false">D112*((1+E112)^((C112-IF(B112=1,01_Lease_Master!$D$10,C111))/365)-1)</f>
        <v>394.917696928123</v>
      </c>
      <c r="G112" s="1" t="n">
        <f aca="false">IF(C112=01_Lease_Master!$V$10,01_Lease_Master!$U$10,0)</f>
        <v>0</v>
      </c>
      <c r="H112" s="6" t="n">
        <f aca="false">MAX(0,D112+F112-G112)</f>
        <v>79997.253268083</v>
      </c>
      <c r="I112" s="6" t="n">
        <f aca="false">H112*IF(AND(01_Lease_Master!$Y$10&gt;0,01_Lease_Master!$Z$10&gt;0),01_Lease_Master!$Y$10*01_Lease_Master!$Z$10,01_Lease_Master!$X$10)</f>
        <v>1099.96223243614</v>
      </c>
      <c r="J112" s="6" t="n">
        <f aca="false">MAX(0,H112-I112)</f>
        <v>78897.2910356469</v>
      </c>
      <c r="K112" s="1" t="s">
        <v>162</v>
      </c>
    </row>
    <row r="113" customFormat="false" ht="15" hidden="false" customHeight="true" outlineLevel="0" collapsed="false">
      <c r="A113" s="1" t="s">
        <v>88</v>
      </c>
      <c r="B113" s="1" t="n">
        <v>15</v>
      </c>
      <c r="C113" s="7" t="n">
        <v>45566</v>
      </c>
      <c r="D113" s="6" t="n">
        <f aca="false">H112</f>
        <v>79997.253268083</v>
      </c>
      <c r="E113" s="6" t="n">
        <f aca="false">01_Lease_Master!$W$10</f>
        <v>0.06</v>
      </c>
      <c r="F113" s="6" t="n">
        <f aca="false">D113*((1+E113)^((C113-IF(B113=1,01_Lease_Master!$D$10,C112))/365)-1)</f>
        <v>384.0437733281</v>
      </c>
      <c r="G113" s="1" t="n">
        <f aca="false">IF(C113=01_Lease_Master!$V$10,01_Lease_Master!$U$10,0)</f>
        <v>0</v>
      </c>
      <c r="H113" s="6" t="n">
        <f aca="false">MAX(0,D113+F113-G113)</f>
        <v>80381.2970414111</v>
      </c>
      <c r="I113" s="6" t="n">
        <f aca="false">H113*IF(AND(01_Lease_Master!$Y$10&gt;0,01_Lease_Master!$Z$10&gt;0),01_Lease_Master!$Y$10*01_Lease_Master!$Z$10,01_Lease_Master!$X$10)</f>
        <v>1105.2428343194</v>
      </c>
      <c r="J113" s="6" t="n">
        <f aca="false">MAX(0,H113-I113)</f>
        <v>79276.0542070917</v>
      </c>
      <c r="K113" s="1" t="s">
        <v>162</v>
      </c>
    </row>
    <row r="114" customFormat="false" ht="15" hidden="false" customHeight="true" outlineLevel="0" collapsed="false">
      <c r="A114" s="1" t="s">
        <v>88</v>
      </c>
      <c r="B114" s="1" t="n">
        <v>16</v>
      </c>
      <c r="C114" s="7" t="n">
        <v>45597</v>
      </c>
      <c r="D114" s="6" t="n">
        <f aca="false">H113</f>
        <v>80381.2970414111</v>
      </c>
      <c r="E114" s="6" t="n">
        <f aca="false">01_Lease_Master!$W$10</f>
        <v>0.06</v>
      </c>
      <c r="F114" s="6" t="n">
        <f aca="false">D114*((1+E114)^((C114-IF(B114=1,01_Lease_Master!$D$10,C113))/365)-1)</f>
        <v>398.782227630924</v>
      </c>
      <c r="G114" s="1" t="n">
        <f aca="false">IF(C114=01_Lease_Master!$V$10,01_Lease_Master!$U$10,0)</f>
        <v>0</v>
      </c>
      <c r="H114" s="6" t="n">
        <f aca="false">MAX(0,D114+F114-G114)</f>
        <v>80780.0792690421</v>
      </c>
      <c r="I114" s="6" t="n">
        <f aca="false">H114*IF(AND(01_Lease_Master!$Y$10&gt;0,01_Lease_Master!$Z$10&gt;0),01_Lease_Master!$Y$10*01_Lease_Master!$Z$10,01_Lease_Master!$X$10)</f>
        <v>1110.72608994933</v>
      </c>
      <c r="J114" s="6" t="n">
        <f aca="false">MAX(0,H114-I114)</f>
        <v>79669.3531790927</v>
      </c>
      <c r="K114" s="1" t="s">
        <v>162</v>
      </c>
    </row>
    <row r="115" customFormat="false" ht="15" hidden="false" customHeight="true" outlineLevel="0" collapsed="false">
      <c r="A115" s="1" t="s">
        <v>88</v>
      </c>
      <c r="B115" s="1" t="n">
        <v>17</v>
      </c>
      <c r="C115" s="7" t="n">
        <v>45627</v>
      </c>
      <c r="D115" s="6" t="n">
        <f aca="false">H114</f>
        <v>80780.0792690421</v>
      </c>
      <c r="E115" s="6" t="n">
        <f aca="false">01_Lease_Master!$W$10</f>
        <v>0.06</v>
      </c>
      <c r="F115" s="6" t="n">
        <f aca="false">D115*((1+E115)^((C115-IF(B115=1,01_Lease_Master!$D$10,C114))/365)-1)</f>
        <v>387.801895500873</v>
      </c>
      <c r="G115" s="1" t="n">
        <f aca="false">IF(C115=01_Lease_Master!$V$10,01_Lease_Master!$U$10,0)</f>
        <v>0</v>
      </c>
      <c r="H115" s="6" t="n">
        <f aca="false">MAX(0,D115+F115-G115)</f>
        <v>81167.8811645429</v>
      </c>
      <c r="I115" s="6" t="n">
        <f aca="false">H115*IF(AND(01_Lease_Master!$Y$10&gt;0,01_Lease_Master!$Z$10&gt;0),01_Lease_Master!$Y$10*01_Lease_Master!$Z$10,01_Lease_Master!$X$10)</f>
        <v>1116.05836601247</v>
      </c>
      <c r="J115" s="6" t="n">
        <f aca="false">MAX(0,H115-I115)</f>
        <v>80051.8227985305</v>
      </c>
      <c r="K115" s="1" t="s">
        <v>162</v>
      </c>
    </row>
    <row r="116" customFormat="false" ht="15" hidden="false" customHeight="true" outlineLevel="0" collapsed="false">
      <c r="A116" s="1" t="s">
        <v>88</v>
      </c>
      <c r="B116" s="1" t="n">
        <v>18</v>
      </c>
      <c r="C116" s="7" t="n">
        <v>45658</v>
      </c>
      <c r="D116" s="6" t="n">
        <f aca="false">H115</f>
        <v>81167.8811645429</v>
      </c>
      <c r="E116" s="6" t="n">
        <f aca="false">01_Lease_Master!$W$10</f>
        <v>0.06</v>
      </c>
      <c r="F116" s="6" t="n">
        <f aca="false">D116*((1+E116)^((C116-IF(B116=1,01_Lease_Master!$D$10,C115))/365)-1)</f>
        <v>402.684575321084</v>
      </c>
      <c r="G116" s="1" t="n">
        <f aca="false">IF(C116=01_Lease_Master!$V$10,01_Lease_Master!$U$10,0)</f>
        <v>0</v>
      </c>
      <c r="H116" s="6" t="n">
        <f aca="false">MAX(0,D116+F116-G116)</f>
        <v>81570.565739864</v>
      </c>
      <c r="I116" s="6" t="n">
        <f aca="false">H116*IF(AND(01_Lease_Master!$Y$10&gt;0,01_Lease_Master!$Z$10&gt;0),01_Lease_Master!$Y$10*01_Lease_Master!$Z$10,01_Lease_Master!$X$10)</f>
        <v>1121.59527892313</v>
      </c>
      <c r="J116" s="6" t="n">
        <f aca="false">MAX(0,H116-I116)</f>
        <v>80448.9704609409</v>
      </c>
      <c r="K116" s="1" t="s">
        <v>162</v>
      </c>
    </row>
    <row r="117" customFormat="false" ht="15" hidden="false" customHeight="true" outlineLevel="0" collapsed="false">
      <c r="A117" s="1" t="s">
        <v>88</v>
      </c>
      <c r="B117" s="1" t="n">
        <v>19</v>
      </c>
      <c r="C117" s="7" t="n">
        <v>45689</v>
      </c>
      <c r="D117" s="6" t="n">
        <f aca="false">H116</f>
        <v>81570.565739864</v>
      </c>
      <c r="E117" s="6" t="n">
        <f aca="false">01_Lease_Master!$W$10</f>
        <v>0.06</v>
      </c>
      <c r="F117" s="6" t="n">
        <f aca="false">D117*((1+E117)^((C117-IF(B117=1,01_Lease_Master!$D$10,C116))/365)-1)</f>
        <v>404.682346667028</v>
      </c>
      <c r="G117" s="1" t="n">
        <f aca="false">IF(C117=01_Lease_Master!$V$10,01_Lease_Master!$U$10,0)</f>
        <v>0</v>
      </c>
      <c r="H117" s="6" t="n">
        <f aca="false">MAX(0,D117+F117-G117)</f>
        <v>81975.248086531</v>
      </c>
      <c r="I117" s="6" t="n">
        <f aca="false">H117*IF(AND(01_Lease_Master!$Y$10&gt;0,01_Lease_Master!$Z$10&gt;0),01_Lease_Master!$Y$10*01_Lease_Master!$Z$10,01_Lease_Master!$X$10)</f>
        <v>1127.1596611898</v>
      </c>
      <c r="J117" s="6" t="n">
        <f aca="false">MAX(0,H117-I117)</f>
        <v>80848.0884253412</v>
      </c>
      <c r="K117" s="1" t="s">
        <v>162</v>
      </c>
    </row>
    <row r="118" customFormat="false" ht="15" hidden="false" customHeight="true" outlineLevel="0" collapsed="false">
      <c r="A118" s="1" t="s">
        <v>88</v>
      </c>
      <c r="B118" s="1" t="n">
        <v>20</v>
      </c>
      <c r="C118" s="7" t="n">
        <v>45717</v>
      </c>
      <c r="D118" s="6" t="n">
        <f aca="false">H117</f>
        <v>81975.248086531</v>
      </c>
      <c r="E118" s="6" t="n">
        <f aca="false">01_Lease_Master!$W$10</f>
        <v>0.06</v>
      </c>
      <c r="F118" s="6" t="n">
        <f aca="false">D118*((1+E118)^((C118-IF(B118=1,01_Lease_Master!$D$10,C117))/365)-1)</f>
        <v>367.244909115971</v>
      </c>
      <c r="G118" s="1" t="n">
        <f aca="false">IF(C118=01_Lease_Master!$V$10,01_Lease_Master!$U$10,0)</f>
        <v>0</v>
      </c>
      <c r="H118" s="6" t="n">
        <f aca="false">MAX(0,D118+F118-G118)</f>
        <v>82342.492995647</v>
      </c>
      <c r="I118" s="6" t="n">
        <f aca="false">H118*IF(AND(01_Lease_Master!$Y$10&gt;0,01_Lease_Master!$Z$10&gt;0),01_Lease_Master!$Y$10*01_Lease_Master!$Z$10,01_Lease_Master!$X$10)</f>
        <v>1132.20927869015</v>
      </c>
      <c r="J118" s="6" t="n">
        <f aca="false">MAX(0,H118-I118)</f>
        <v>81210.2837169569</v>
      </c>
      <c r="K118" s="1" t="s">
        <v>162</v>
      </c>
    </row>
    <row r="119" customFormat="false" ht="15" hidden="false" customHeight="true" outlineLevel="0" collapsed="false">
      <c r="A119" s="1" t="s">
        <v>88</v>
      </c>
      <c r="B119" s="1" t="n">
        <v>21</v>
      </c>
      <c r="C119" s="7" t="n">
        <v>45748</v>
      </c>
      <c r="D119" s="6" t="n">
        <f aca="false">H118</f>
        <v>82342.492995647</v>
      </c>
      <c r="E119" s="6" t="n">
        <f aca="false">01_Lease_Master!$W$10</f>
        <v>0.06</v>
      </c>
      <c r="F119" s="6" t="n">
        <f aca="false">D119*((1+E119)^((C119-IF(B119=1,01_Lease_Master!$D$10,C118))/365)-1)</f>
        <v>408.511979703076</v>
      </c>
      <c r="G119" s="1" t="n">
        <f aca="false">IF(C119=01_Lease_Master!$V$10,01_Lease_Master!$U$10,0)</f>
        <v>0</v>
      </c>
      <c r="H119" s="6" t="n">
        <f aca="false">MAX(0,D119+F119-G119)</f>
        <v>82751.0049753501</v>
      </c>
      <c r="I119" s="6" t="n">
        <f aca="false">H119*IF(AND(01_Lease_Master!$Y$10&gt;0,01_Lease_Master!$Z$10&gt;0),01_Lease_Master!$Y$10*01_Lease_Master!$Z$10,01_Lease_Master!$X$10)</f>
        <v>1137.82631841106</v>
      </c>
      <c r="J119" s="6" t="n">
        <f aca="false">MAX(0,H119-I119)</f>
        <v>81613.178656939</v>
      </c>
      <c r="K119" s="1" t="s">
        <v>162</v>
      </c>
    </row>
    <row r="120" customFormat="false" ht="15" hidden="false" customHeight="true" outlineLevel="0" collapsed="false">
      <c r="A120" s="1" t="s">
        <v>88</v>
      </c>
      <c r="B120" s="1" t="n">
        <v>22</v>
      </c>
      <c r="C120" s="7" t="n">
        <v>45778</v>
      </c>
      <c r="D120" s="6" t="n">
        <f aca="false">H119</f>
        <v>82751.0049753501</v>
      </c>
      <c r="E120" s="6" t="n">
        <f aca="false">01_Lease_Master!$W$10</f>
        <v>0.06</v>
      </c>
      <c r="F120" s="6" t="n">
        <f aca="false">D120*((1+E120)^((C120-IF(B120=1,01_Lease_Master!$D$10,C119))/365)-1)</f>
        <v>397.263742180324</v>
      </c>
      <c r="G120" s="1" t="n">
        <f aca="false">IF(C120=01_Lease_Master!$V$10,01_Lease_Master!$U$10,0)</f>
        <v>0</v>
      </c>
      <c r="H120" s="6" t="n">
        <f aca="false">MAX(0,D120+F120-G120)</f>
        <v>83148.2687175304</v>
      </c>
      <c r="I120" s="6" t="n">
        <f aca="false">H120*IF(AND(01_Lease_Master!$Y$10&gt;0,01_Lease_Master!$Z$10&gt;0),01_Lease_Master!$Y$10*01_Lease_Master!$Z$10,01_Lease_Master!$X$10)</f>
        <v>1143.28869486604</v>
      </c>
      <c r="J120" s="6" t="n">
        <f aca="false">MAX(0,H120-I120)</f>
        <v>82004.9800226644</v>
      </c>
      <c r="K120" s="1" t="s">
        <v>162</v>
      </c>
    </row>
    <row r="121" customFormat="false" ht="15" hidden="false" customHeight="true" outlineLevel="0" collapsed="false">
      <c r="A121" s="1" t="s">
        <v>88</v>
      </c>
      <c r="B121" s="1" t="n">
        <v>23</v>
      </c>
      <c r="C121" s="7" t="n">
        <v>45809</v>
      </c>
      <c r="D121" s="6" t="n">
        <f aca="false">H120</f>
        <v>83148.2687175304</v>
      </c>
      <c r="E121" s="6" t="n">
        <f aca="false">01_Lease_Master!$W$10</f>
        <v>0.06</v>
      </c>
      <c r="F121" s="6" t="n">
        <f aca="false">D121*((1+E121)^((C121-IF(B121=1,01_Lease_Master!$D$10,C120))/365)-1)</f>
        <v>412.509539448573</v>
      </c>
      <c r="G121" s="1" t="n">
        <f aca="false">IF(C121=01_Lease_Master!$V$10,01_Lease_Master!$U$10,0)</f>
        <v>0</v>
      </c>
      <c r="H121" s="6" t="n">
        <f aca="false">MAX(0,D121+F121-G121)</f>
        <v>83560.778256979</v>
      </c>
      <c r="I121" s="6" t="n">
        <f aca="false">H121*IF(AND(01_Lease_Master!$Y$10&gt;0,01_Lease_Master!$Z$10&gt;0),01_Lease_Master!$Y$10*01_Lease_Master!$Z$10,01_Lease_Master!$X$10)</f>
        <v>1148.96070103346</v>
      </c>
      <c r="J121" s="6" t="n">
        <f aca="false">MAX(0,H121-I121)</f>
        <v>82411.8175559455</v>
      </c>
      <c r="K121" s="1" t="s">
        <v>162</v>
      </c>
    </row>
    <row r="122" customFormat="false" ht="15" hidden="false" customHeight="true" outlineLevel="0" collapsed="false">
      <c r="A122" s="1" t="s">
        <v>88</v>
      </c>
      <c r="B122" s="1" t="n">
        <v>24</v>
      </c>
      <c r="C122" s="7" t="n">
        <v>45839</v>
      </c>
      <c r="D122" s="6" t="n">
        <f aca="false">H121</f>
        <v>83560.778256979</v>
      </c>
      <c r="E122" s="6" t="n">
        <f aca="false">01_Lease_Master!$W$10</f>
        <v>0.06</v>
      </c>
      <c r="F122" s="6" t="n">
        <f aca="false">D122*((1+E122)^((C122-IF(B122=1,01_Lease_Master!$D$10,C121))/365)-1)</f>
        <v>401.15123048664</v>
      </c>
      <c r="G122" s="1" t="n">
        <f aca="false">IF(C122=01_Lease_Master!$V$10,01_Lease_Master!$U$10,0)</f>
        <v>0</v>
      </c>
      <c r="H122" s="6" t="n">
        <f aca="false">MAX(0,D122+F122-G122)</f>
        <v>83961.9294874656</v>
      </c>
      <c r="I122" s="6" t="n">
        <f aca="false">H122*IF(AND(01_Lease_Master!$Y$10&gt;0,01_Lease_Master!$Z$10&gt;0),01_Lease_Master!$Y$10*01_Lease_Master!$Z$10,01_Lease_Master!$X$10)</f>
        <v>1154.47653045265</v>
      </c>
      <c r="J122" s="6" t="n">
        <f aca="false">MAX(0,H122-I122)</f>
        <v>82807.452957013</v>
      </c>
      <c r="K122" s="1" t="s">
        <v>162</v>
      </c>
    </row>
    <row r="123" customFormat="false" ht="15" hidden="false" customHeight="true" outlineLevel="0" collapsed="false">
      <c r="A123" s="1" t="s">
        <v>88</v>
      </c>
      <c r="B123" s="1" t="n">
        <v>25</v>
      </c>
      <c r="C123" s="7" t="n">
        <v>45870</v>
      </c>
      <c r="D123" s="6" t="n">
        <f aca="false">H122</f>
        <v>83961.9294874656</v>
      </c>
      <c r="E123" s="6" t="n">
        <f aca="false">01_Lease_Master!$W$10</f>
        <v>0.06</v>
      </c>
      <c r="F123" s="6" t="n">
        <f aca="false">D123*((1+E123)^((C123-IF(B123=1,01_Lease_Master!$D$10,C122))/365)-1)</f>
        <v>416.546217958543</v>
      </c>
      <c r="G123" s="1" t="n">
        <f aca="false">IF(C123=01_Lease_Master!$V$10,01_Lease_Master!$U$10,0)</f>
        <v>0</v>
      </c>
      <c r="H123" s="6" t="n">
        <f aca="false">MAX(0,D123+F123-G123)</f>
        <v>84378.4757054242</v>
      </c>
      <c r="I123" s="6" t="n">
        <f aca="false">H123*IF(AND(01_Lease_Master!$Y$10&gt;0,01_Lease_Master!$Z$10&gt;0),01_Lease_Master!$Y$10*01_Lease_Master!$Z$10,01_Lease_Master!$X$10)</f>
        <v>1160.20404094958</v>
      </c>
      <c r="J123" s="6" t="n">
        <f aca="false">MAX(0,H123-I123)</f>
        <v>83218.2716644746</v>
      </c>
      <c r="K123" s="1" t="s">
        <v>162</v>
      </c>
    </row>
    <row r="124" customFormat="false" ht="15" hidden="false" customHeight="true" outlineLevel="0" collapsed="false">
      <c r="A124" s="1" t="s">
        <v>88</v>
      </c>
      <c r="B124" s="1" t="n">
        <v>26</v>
      </c>
      <c r="C124" s="7" t="n">
        <v>45901</v>
      </c>
      <c r="D124" s="6" t="n">
        <f aca="false">H123</f>
        <v>84378.4757054242</v>
      </c>
      <c r="E124" s="6" t="n">
        <f aca="false">01_Lease_Master!$W$10</f>
        <v>0.06</v>
      </c>
      <c r="F124" s="6" t="n">
        <f aca="false">D124*((1+E124)^((C124-IF(B124=1,01_Lease_Master!$D$10,C123))/365)-1)</f>
        <v>418.612758743811</v>
      </c>
      <c r="G124" s="1" t="n">
        <f aca="false">IF(C124=01_Lease_Master!$V$10,01_Lease_Master!$U$10,0)</f>
        <v>0</v>
      </c>
      <c r="H124" s="6" t="n">
        <f aca="false">MAX(0,D124+F124-G124)</f>
        <v>84797.088464168</v>
      </c>
      <c r="I124" s="6" t="n">
        <f aca="false">H124*IF(AND(01_Lease_Master!$Y$10&gt;0,01_Lease_Master!$Z$10&gt;0),01_Lease_Master!$Y$10*01_Lease_Master!$Z$10,01_Lease_Master!$X$10)</f>
        <v>1165.95996638231</v>
      </c>
      <c r="J124" s="6" t="n">
        <f aca="false">MAX(0,H124-I124)</f>
        <v>83631.1284977857</v>
      </c>
      <c r="K124" s="1" t="s">
        <v>162</v>
      </c>
    </row>
    <row r="125" customFormat="false" ht="15" hidden="false" customHeight="true" outlineLevel="0" collapsed="false">
      <c r="A125" s="1" t="s">
        <v>88</v>
      </c>
      <c r="B125" s="1" t="n">
        <v>27</v>
      </c>
      <c r="C125" s="7" t="n">
        <v>45931</v>
      </c>
      <c r="D125" s="6" t="n">
        <f aca="false">H124</f>
        <v>84797.088464168</v>
      </c>
      <c r="E125" s="6" t="n">
        <f aca="false">01_Lease_Master!$W$10</f>
        <v>0.06</v>
      </c>
      <c r="F125" s="6" t="n">
        <f aca="false">D125*((1+E125)^((C125-IF(B125=1,01_Lease_Master!$D$10,C124))/365)-1)</f>
        <v>407.086399727786</v>
      </c>
      <c r="G125" s="1" t="n">
        <f aca="false">IF(C125=01_Lease_Master!$V$10,01_Lease_Master!$U$10,0)</f>
        <v>0</v>
      </c>
      <c r="H125" s="6" t="n">
        <f aca="false">MAX(0,D125+F125-G125)</f>
        <v>85204.1748638958</v>
      </c>
      <c r="I125" s="6" t="n">
        <f aca="false">H125*IF(AND(01_Lease_Master!$Y$10&gt;0,01_Lease_Master!$Z$10&gt;0),01_Lease_Master!$Y$10*01_Lease_Master!$Z$10,01_Lease_Master!$X$10)</f>
        <v>1171.55740437857</v>
      </c>
      <c r="J125" s="6" t="n">
        <f aca="false">MAX(0,H125-I125)</f>
        <v>84032.6174595172</v>
      </c>
      <c r="K125" s="1" t="s">
        <v>162</v>
      </c>
    </row>
    <row r="126" customFormat="false" ht="15" hidden="false" customHeight="true" outlineLevel="0" collapsed="false">
      <c r="A126" s="1" t="s">
        <v>88</v>
      </c>
      <c r="B126" s="1" t="n">
        <v>28</v>
      </c>
      <c r="C126" s="7" t="n">
        <v>45962</v>
      </c>
      <c r="D126" s="6" t="n">
        <f aca="false">H125</f>
        <v>85204.1748638958</v>
      </c>
      <c r="E126" s="6" t="n">
        <f aca="false">01_Lease_Master!$W$10</f>
        <v>0.06</v>
      </c>
      <c r="F126" s="6" t="n">
        <f aca="false">D126*((1+E126)^((C126-IF(B126=1,01_Lease_Master!$D$10,C125))/365)-1)</f>
        <v>422.709161288779</v>
      </c>
      <c r="G126" s="1" t="n">
        <f aca="false">IF(C126=01_Lease_Master!$V$10,01_Lease_Master!$U$10,0)</f>
        <v>0</v>
      </c>
      <c r="H126" s="6" t="n">
        <f aca="false">MAX(0,D126+F126-G126)</f>
        <v>85626.8840251845</v>
      </c>
      <c r="I126" s="6" t="n">
        <f aca="false">H126*IF(AND(01_Lease_Master!$Y$10&gt;0,01_Lease_Master!$Z$10&gt;0),01_Lease_Master!$Y$10*01_Lease_Master!$Z$10,01_Lease_Master!$X$10)</f>
        <v>1177.36965534629</v>
      </c>
      <c r="J126" s="6" t="n">
        <f aca="false">MAX(0,H126-I126)</f>
        <v>84449.5143698382</v>
      </c>
      <c r="K126" s="1" t="s">
        <v>162</v>
      </c>
    </row>
    <row r="127" customFormat="false" ht="15" hidden="false" customHeight="true" outlineLevel="0" collapsed="false">
      <c r="A127" s="1" t="s">
        <v>88</v>
      </c>
      <c r="B127" s="1" t="n">
        <v>29</v>
      </c>
      <c r="C127" s="7" t="n">
        <v>45992</v>
      </c>
      <c r="D127" s="6" t="n">
        <f aca="false">H126</f>
        <v>85626.8840251845</v>
      </c>
      <c r="E127" s="6" t="n">
        <f aca="false">01_Lease_Master!$W$10</f>
        <v>0.06</v>
      </c>
      <c r="F127" s="6" t="n">
        <f aca="false">D127*((1+E127)^((C127-IF(B127=1,01_Lease_Master!$D$10,C126))/365)-1)</f>
        <v>411.070009230925</v>
      </c>
      <c r="G127" s="1" t="n">
        <f aca="false">IF(C127=01_Lease_Master!$V$10,01_Lease_Master!$U$10,0)</f>
        <v>0</v>
      </c>
      <c r="H127" s="6" t="n">
        <f aca="false">MAX(0,D127+F127-G127)</f>
        <v>86037.9540344155</v>
      </c>
      <c r="I127" s="6" t="n">
        <f aca="false">H127*IF(AND(01_Lease_Master!$Y$10&gt;0,01_Lease_Master!$Z$10&gt;0),01_Lease_Master!$Y$10*01_Lease_Master!$Z$10,01_Lease_Master!$X$10)</f>
        <v>1183.02186797321</v>
      </c>
      <c r="J127" s="6" t="n">
        <f aca="false">MAX(0,H127-I127)</f>
        <v>84854.9321664423</v>
      </c>
      <c r="K127" s="1" t="s">
        <v>162</v>
      </c>
    </row>
    <row r="128" customFormat="false" ht="15" hidden="false" customHeight="true" outlineLevel="0" collapsed="false">
      <c r="A128" s="1" t="s">
        <v>88</v>
      </c>
      <c r="B128" s="1" t="n">
        <v>30</v>
      </c>
      <c r="C128" s="7" t="n">
        <v>46023</v>
      </c>
      <c r="D128" s="6" t="n">
        <f aca="false">H127</f>
        <v>86037.9540344155</v>
      </c>
      <c r="E128" s="6" t="n">
        <f aca="false">01_Lease_Master!$W$10</f>
        <v>0.06</v>
      </c>
      <c r="F128" s="6" t="n">
        <f aca="false">D128*((1+E128)^((C128-IF(B128=1,01_Lease_Master!$D$10,C127))/365)-1)</f>
        <v>426.845649840348</v>
      </c>
      <c r="G128" s="1" t="n">
        <f aca="false">IF(C128=01_Lease_Master!$V$10,01_Lease_Master!$U$10,0)</f>
        <v>0</v>
      </c>
      <c r="H128" s="6" t="n">
        <f aca="false">MAX(0,D128+F128-G128)</f>
        <v>86464.7996842558</v>
      </c>
      <c r="I128" s="6" t="n">
        <f aca="false">H128*IF(AND(01_Lease_Master!$Y$10&gt;0,01_Lease_Master!$Z$10&gt;0),01_Lease_Master!$Y$10*01_Lease_Master!$Z$10,01_Lease_Master!$X$10)</f>
        <v>1188.89099565852</v>
      </c>
      <c r="J128" s="6" t="n">
        <f aca="false">MAX(0,H128-I128)</f>
        <v>85275.9086885973</v>
      </c>
      <c r="K128" s="1" t="s">
        <v>162</v>
      </c>
    </row>
    <row r="129" customFormat="false" ht="15" hidden="false" customHeight="true" outlineLevel="0" collapsed="false">
      <c r="A129" s="1" t="s">
        <v>88</v>
      </c>
      <c r="B129" s="1" t="n">
        <v>31</v>
      </c>
      <c r="C129" s="7" t="n">
        <v>46054</v>
      </c>
      <c r="D129" s="6" t="n">
        <f aca="false">H128</f>
        <v>86464.7996842558</v>
      </c>
      <c r="E129" s="6" t="n">
        <f aca="false">01_Lease_Master!$W$10</f>
        <v>0.06</v>
      </c>
      <c r="F129" s="6" t="n">
        <f aca="false">D129*((1+E129)^((C129-IF(B129=1,01_Lease_Master!$D$10,C128))/365)-1)</f>
        <v>428.963287467049</v>
      </c>
      <c r="G129" s="1" t="n">
        <f aca="false">IF(C129=01_Lease_Master!$V$10,01_Lease_Master!$U$10,0)</f>
        <v>0</v>
      </c>
      <c r="H129" s="6" t="n">
        <f aca="false">MAX(0,D129+F129-G129)</f>
        <v>86893.7629717229</v>
      </c>
      <c r="I129" s="6" t="n">
        <f aca="false">H129*IF(AND(01_Lease_Master!$Y$10&gt;0,01_Lease_Master!$Z$10&gt;0),01_Lease_Master!$Y$10*01_Lease_Master!$Z$10,01_Lease_Master!$X$10)</f>
        <v>1194.78924086119</v>
      </c>
      <c r="J129" s="6" t="n">
        <f aca="false">MAX(0,H129-I129)</f>
        <v>85698.9737308617</v>
      </c>
      <c r="K129" s="1" t="s">
        <v>162</v>
      </c>
    </row>
    <row r="130" customFormat="false" ht="15" hidden="false" customHeight="true" outlineLevel="0" collapsed="false">
      <c r="A130" s="1" t="s">
        <v>88</v>
      </c>
      <c r="B130" s="1" t="n">
        <v>32</v>
      </c>
      <c r="C130" s="7" t="n">
        <v>46082</v>
      </c>
      <c r="D130" s="6" t="n">
        <f aca="false">H129</f>
        <v>86893.7629717229</v>
      </c>
      <c r="E130" s="6" t="n">
        <f aca="false">01_Lease_Master!$W$10</f>
        <v>0.06</v>
      </c>
      <c r="F130" s="6" t="n">
        <f aca="false">D130*((1+E130)^((C130-IF(B130=1,01_Lease_Master!$D$10,C129))/365)-1)</f>
        <v>389.279603662929</v>
      </c>
      <c r="G130" s="1" t="n">
        <f aca="false">IF(C130=01_Lease_Master!$V$10,01_Lease_Master!$U$10,0)</f>
        <v>0</v>
      </c>
      <c r="H130" s="6" t="n">
        <f aca="false">MAX(0,D130+F130-G130)</f>
        <v>87283.0425753858</v>
      </c>
      <c r="I130" s="6" t="n">
        <f aca="false">H130*IF(AND(01_Lease_Master!$Y$10&gt;0,01_Lease_Master!$Z$10&gt;0),01_Lease_Master!$Y$10*01_Lease_Master!$Z$10,01_Lease_Master!$X$10)</f>
        <v>1200.14183541155</v>
      </c>
      <c r="J130" s="6" t="n">
        <f aca="false">MAX(0,H130-I130)</f>
        <v>86082.9007399742</v>
      </c>
      <c r="K130" s="1" t="s">
        <v>162</v>
      </c>
    </row>
    <row r="131" customFormat="false" ht="15" hidden="false" customHeight="true" outlineLevel="0" collapsed="false">
      <c r="A131" s="1" t="s">
        <v>88</v>
      </c>
      <c r="B131" s="1" t="n">
        <v>33</v>
      </c>
      <c r="C131" s="7" t="n">
        <v>46113</v>
      </c>
      <c r="D131" s="6" t="n">
        <f aca="false">H130</f>
        <v>87283.0425753858</v>
      </c>
      <c r="E131" s="6" t="n">
        <f aca="false">01_Lease_Master!$W$10</f>
        <v>0.06</v>
      </c>
      <c r="F131" s="6" t="n">
        <f aca="false">D131*((1+E131)^((C131-IF(B131=1,01_Lease_Master!$D$10,C130))/365)-1)</f>
        <v>433.02269848526</v>
      </c>
      <c r="G131" s="1" t="n">
        <f aca="false">IF(C131=01_Lease_Master!$V$10,01_Lease_Master!$U$10,0)</f>
        <v>0</v>
      </c>
      <c r="H131" s="6" t="n">
        <f aca="false">MAX(0,D131+F131-G131)</f>
        <v>87716.0652738711</v>
      </c>
      <c r="I131" s="6" t="n">
        <f aca="false">H131*IF(AND(01_Lease_Master!$Y$10&gt;0,01_Lease_Master!$Z$10&gt;0),01_Lease_Master!$Y$10*01_Lease_Master!$Z$10,01_Lease_Master!$X$10)</f>
        <v>1206.09589751573</v>
      </c>
      <c r="J131" s="6" t="n">
        <f aca="false">MAX(0,H131-I131)</f>
        <v>86509.9693763553</v>
      </c>
      <c r="K131" s="1" t="s">
        <v>162</v>
      </c>
    </row>
    <row r="132" customFormat="false" ht="15" hidden="false" customHeight="true" outlineLevel="0" collapsed="false">
      <c r="A132" s="1" t="s">
        <v>88</v>
      </c>
      <c r="B132" s="1" t="n">
        <v>34</v>
      </c>
      <c r="C132" s="7" t="n">
        <v>46143</v>
      </c>
      <c r="D132" s="6" t="n">
        <f aca="false">H131</f>
        <v>87716.0652738711</v>
      </c>
      <c r="E132" s="6" t="n">
        <f aca="false">01_Lease_Master!$W$10</f>
        <v>0.06</v>
      </c>
      <c r="F132" s="6" t="n">
        <f aca="false">D132*((1+E132)^((C132-IF(B132=1,01_Lease_Master!$D$10,C131))/365)-1)</f>
        <v>421.099566711144</v>
      </c>
      <c r="G132" s="1" t="n">
        <f aca="false">IF(C132=01_Lease_Master!$V$10,01_Lease_Master!$U$10,0)</f>
        <v>0</v>
      </c>
      <c r="H132" s="6" t="n">
        <f aca="false">MAX(0,D132+F132-G132)</f>
        <v>88137.1648405822</v>
      </c>
      <c r="I132" s="6" t="n">
        <f aca="false">H132*IF(AND(01_Lease_Master!$Y$10&gt;0,01_Lease_Master!$Z$10&gt;0),01_Lease_Master!$Y$10*01_Lease_Master!$Z$10,01_Lease_Master!$X$10)</f>
        <v>1211.88601655801</v>
      </c>
      <c r="J132" s="6" t="n">
        <f aca="false">MAX(0,H132-I132)</f>
        <v>86925.2788240242</v>
      </c>
      <c r="K132" s="1" t="s">
        <v>162</v>
      </c>
    </row>
    <row r="133" customFormat="false" ht="15" hidden="false" customHeight="true" outlineLevel="0" collapsed="false">
      <c r="A133" s="1" t="s">
        <v>88</v>
      </c>
      <c r="B133" s="1" t="n">
        <v>35</v>
      </c>
      <c r="C133" s="7" t="n">
        <v>46174</v>
      </c>
      <c r="D133" s="6" t="n">
        <f aca="false">H132</f>
        <v>88137.1648405822</v>
      </c>
      <c r="E133" s="6" t="n">
        <f aca="false">01_Lease_Master!$W$10</f>
        <v>0.06</v>
      </c>
      <c r="F133" s="6" t="n">
        <f aca="false">D133*((1+E133)^((C133-IF(B133=1,01_Lease_Master!$D$10,C132))/365)-1)</f>
        <v>437.260111815487</v>
      </c>
      <c r="G133" s="1" t="n">
        <f aca="false">IF(C133=01_Lease_Master!$V$10,01_Lease_Master!$U$10,0)</f>
        <v>0</v>
      </c>
      <c r="H133" s="6" t="n">
        <f aca="false">MAX(0,D133+F133-G133)</f>
        <v>88574.4249523977</v>
      </c>
      <c r="I133" s="6" t="n">
        <f aca="false">H133*IF(AND(01_Lease_Master!$Y$10&gt;0,01_Lease_Master!$Z$10&gt;0),01_Lease_Master!$Y$10*01_Lease_Master!$Z$10,01_Lease_Master!$X$10)</f>
        <v>1217.89834309547</v>
      </c>
      <c r="J133" s="6" t="n">
        <f aca="false">MAX(0,H133-I133)</f>
        <v>87356.5266093022</v>
      </c>
      <c r="K133" s="1" t="s">
        <v>162</v>
      </c>
    </row>
    <row r="134" customFormat="false" ht="15" hidden="false" customHeight="true" outlineLevel="0" collapsed="false">
      <c r="A134" s="1" t="s">
        <v>88</v>
      </c>
      <c r="B134" s="1" t="n">
        <v>36</v>
      </c>
      <c r="C134" s="7" t="n">
        <v>46204</v>
      </c>
      <c r="D134" s="6" t="n">
        <f aca="false">H133</f>
        <v>88574.4249523977</v>
      </c>
      <c r="E134" s="6" t="n">
        <f aca="false">01_Lease_Master!$W$10</f>
        <v>0.06</v>
      </c>
      <c r="F134" s="6" t="n">
        <f aca="false">D134*((1+E134)^((C134-IF(B134=1,01_Lease_Master!$D$10,C133))/365)-1)</f>
        <v>425.220304315838</v>
      </c>
      <c r="G134" s="1" t="n">
        <f aca="false">IF(C134=01_Lease_Master!$V$10,01_Lease_Master!$U$10,0)</f>
        <v>0</v>
      </c>
      <c r="H134" s="6" t="n">
        <f aca="false">MAX(0,D134+F134-G134)</f>
        <v>88999.6452567135</v>
      </c>
      <c r="I134" s="6" t="n">
        <f aca="false">H134*IF(AND(01_Lease_Master!$Y$10&gt;0,01_Lease_Master!$Z$10&gt;0),01_Lease_Master!$Y$10*01_Lease_Master!$Z$10,01_Lease_Master!$X$10)</f>
        <v>1223.74512227981</v>
      </c>
      <c r="J134" s="6" t="n">
        <f aca="false">MAX(0,H134-I134)</f>
        <v>87775.9001344337</v>
      </c>
      <c r="K134" s="1" t="s">
        <v>162</v>
      </c>
    </row>
    <row r="135" customFormat="false" ht="15" hidden="false" customHeight="true" outlineLevel="0" collapsed="false">
      <c r="A135" s="1" t="s">
        <v>88</v>
      </c>
      <c r="B135" s="1" t="n">
        <v>37</v>
      </c>
      <c r="C135" s="7" t="n">
        <v>46235</v>
      </c>
      <c r="D135" s="6" t="n">
        <f aca="false">H134</f>
        <v>88999.6452567135</v>
      </c>
      <c r="E135" s="6" t="n">
        <f aca="false">01_Lease_Master!$W$10</f>
        <v>0.06</v>
      </c>
      <c r="F135" s="6" t="n">
        <f aca="false">D135*((1+E135)^((C135-IF(B135=1,01_Lease_Master!$D$10,C134))/365)-1)</f>
        <v>441.538991036056</v>
      </c>
      <c r="G135" s="1" t="n">
        <f aca="false">IF(C135=01_Lease_Master!$V$10,01_Lease_Master!$U$10,0)</f>
        <v>0</v>
      </c>
      <c r="H135" s="6" t="n">
        <f aca="false">MAX(0,D135+F135-G135)</f>
        <v>89441.1842477496</v>
      </c>
      <c r="I135" s="6" t="n">
        <f aca="false">H135*IF(AND(01_Lease_Master!$Y$10&gt;0,01_Lease_Master!$Z$10&gt;0),01_Lease_Master!$Y$10*01_Lease_Master!$Z$10,01_Lease_Master!$X$10)</f>
        <v>1229.81628340656</v>
      </c>
      <c r="J135" s="6" t="n">
        <f aca="false">MAX(0,H135-I135)</f>
        <v>88211.367964343</v>
      </c>
      <c r="K135" s="1" t="s">
        <v>162</v>
      </c>
    </row>
    <row r="136" customFormat="false" ht="15" hidden="false" customHeight="true" outlineLevel="0" collapsed="false">
      <c r="A136" s="1" t="s">
        <v>88</v>
      </c>
      <c r="B136" s="1" t="n">
        <v>38</v>
      </c>
      <c r="C136" s="7" t="n">
        <v>46266</v>
      </c>
      <c r="D136" s="6" t="n">
        <f aca="false">H135</f>
        <v>89441.1842477496</v>
      </c>
      <c r="E136" s="6" t="n">
        <f aca="false">01_Lease_Master!$W$10</f>
        <v>0.06</v>
      </c>
      <c r="F136" s="6" t="n">
        <f aca="false">D136*((1+E136)^((C136-IF(B136=1,01_Lease_Master!$D$10,C135))/365)-1)</f>
        <v>443.729524268439</v>
      </c>
      <c r="G136" s="1" t="n">
        <f aca="false">IF(C136=01_Lease_Master!$V$10,01_Lease_Master!$U$10,0)</f>
        <v>0</v>
      </c>
      <c r="H136" s="6" t="n">
        <f aca="false">MAX(0,D136+F136-G136)</f>
        <v>89884.913772018</v>
      </c>
      <c r="I136" s="6" t="n">
        <f aca="false">H136*IF(AND(01_Lease_Master!$Y$10&gt;0,01_Lease_Master!$Z$10&gt;0),01_Lease_Master!$Y$10*01_Lease_Master!$Z$10,01_Lease_Master!$X$10)</f>
        <v>1235.91756436525</v>
      </c>
      <c r="J136" s="6" t="n">
        <f aca="false">MAX(0,H136-I136)</f>
        <v>88648.9962076528</v>
      </c>
      <c r="K136" s="1" t="s">
        <v>162</v>
      </c>
    </row>
    <row r="137" customFormat="false" ht="15" hidden="false" customHeight="true" outlineLevel="0" collapsed="false">
      <c r="A137" s="1" t="s">
        <v>88</v>
      </c>
      <c r="B137" s="1" t="n">
        <v>39</v>
      </c>
      <c r="C137" s="7" t="n">
        <v>46271</v>
      </c>
      <c r="D137" s="6" t="n">
        <f aca="false">H136</f>
        <v>89884.913772018</v>
      </c>
      <c r="E137" s="6" t="n">
        <f aca="false">01_Lease_Master!$W$10</f>
        <v>0.06</v>
      </c>
      <c r="F137" s="6" t="n">
        <f aca="false">D137*((1+E137)^((C137-IF(B137=1,01_Lease_Master!$D$10,C136))/365)-1)</f>
        <v>71.7751593726778</v>
      </c>
      <c r="G137" s="1" t="n">
        <f aca="false">IF(C137=01_Lease_Master!$V$10,01_Lease_Master!$U$10,0)</f>
        <v>0</v>
      </c>
      <c r="H137" s="6" t="n">
        <f aca="false">MAX(0,D137+F137-G137)</f>
        <v>89956.6889313907</v>
      </c>
      <c r="I137" s="6" t="n">
        <f aca="false">H137*IF(AND(01_Lease_Master!$Y$10&gt;0,01_Lease_Master!$Z$10&gt;0),01_Lease_Master!$Y$10*01_Lease_Master!$Z$10,01_Lease_Master!$X$10)</f>
        <v>1236.90447280662</v>
      </c>
      <c r="J137" s="6" t="n">
        <f aca="false">MAX(0,H137-I137)</f>
        <v>88719.7844585841</v>
      </c>
      <c r="K137" s="1" t="s">
        <v>162</v>
      </c>
    </row>
    <row r="138" customFormat="false" ht="15" hidden="false" customHeight="true" outlineLevel="0" collapsed="false">
      <c r="A138" s="1" t="s">
        <v>94</v>
      </c>
      <c r="B138" s="1" t="n">
        <v>1</v>
      </c>
      <c r="C138" s="7" t="n">
        <v>45597</v>
      </c>
      <c r="D138" s="6" t="n">
        <f aca="false">IF(01_Lease_Master!$D$12&gt;$B$3,0,ROUND(01_Lease_Master!$U$12-03_Initial_Recognition!$H$12,2))</f>
        <v>186814.54</v>
      </c>
      <c r="E138" s="6" t="n">
        <f aca="false">01_Lease_Master!$W$12</f>
        <v>0.06</v>
      </c>
      <c r="F138" s="6" t="n">
        <f aca="false">D138*((1+E138)^((C138-IF(B138=1,01_Lease_Master!$D$12,C137))/365)-1)</f>
        <v>926.811598681544</v>
      </c>
      <c r="G138" s="1" t="n">
        <f aca="false">IF(C138=01_Lease_Master!$V$12,01_Lease_Master!$U$12,0)</f>
        <v>0</v>
      </c>
      <c r="H138" s="6" t="n">
        <f aca="false">MAX(0,D138+F138-G138)</f>
        <v>187741.351598682</v>
      </c>
      <c r="I138" s="6" t="n">
        <f aca="false">H138*IF(AND(01_Lease_Master!$Y$12&gt;0,01_Lease_Master!$Z$12&gt;0),01_Lease_Master!$Y$12*01_Lease_Master!$Z$12,01_Lease_Master!$X$12)</f>
        <v>3379.34432877627</v>
      </c>
      <c r="J138" s="6" t="n">
        <f aca="false">MAX(0,H138-I138)</f>
        <v>184362.007269905</v>
      </c>
      <c r="K138" s="1" t="s">
        <v>162</v>
      </c>
    </row>
    <row r="139" customFormat="false" ht="15" hidden="false" customHeight="true" outlineLevel="0" collapsed="false">
      <c r="A139" s="1" t="s">
        <v>94</v>
      </c>
      <c r="B139" s="1" t="n">
        <v>2</v>
      </c>
      <c r="C139" s="7" t="n">
        <v>45627</v>
      </c>
      <c r="D139" s="6" t="n">
        <f aca="false">H138</f>
        <v>187741.351598682</v>
      </c>
      <c r="E139" s="6" t="n">
        <f aca="false">01_Lease_Master!$W$12</f>
        <v>0.06</v>
      </c>
      <c r="F139" s="6" t="n">
        <f aca="false">D139*((1+E139)^((C139-IF(B139=1,01_Lease_Master!$D$12,C138))/365)-1)</f>
        <v>901.292158570172</v>
      </c>
      <c r="G139" s="1" t="n">
        <f aca="false">IF(C139=01_Lease_Master!$V$12,01_Lease_Master!$U$12,0)</f>
        <v>0</v>
      </c>
      <c r="H139" s="6" t="n">
        <f aca="false">MAX(0,D139+F139-G139)</f>
        <v>188642.643757252</v>
      </c>
      <c r="I139" s="6" t="n">
        <f aca="false">H139*IF(AND(01_Lease_Master!$Y$12&gt;0,01_Lease_Master!$Z$12&gt;0),01_Lease_Master!$Y$12*01_Lease_Master!$Z$12,01_Lease_Master!$X$12)</f>
        <v>3395.56758763053</v>
      </c>
      <c r="J139" s="6" t="n">
        <f aca="false">MAX(0,H139-I139)</f>
        <v>185247.076169621</v>
      </c>
      <c r="K139" s="1" t="s">
        <v>162</v>
      </c>
    </row>
    <row r="140" customFormat="false" ht="15" hidden="false" customHeight="true" outlineLevel="0" collapsed="false">
      <c r="A140" s="1" t="s">
        <v>94</v>
      </c>
      <c r="B140" s="1" t="n">
        <v>3</v>
      </c>
      <c r="C140" s="7" t="n">
        <v>45658</v>
      </c>
      <c r="D140" s="6" t="n">
        <f aca="false">H139</f>
        <v>188642.643757252</v>
      </c>
      <c r="E140" s="6" t="n">
        <f aca="false">01_Lease_Master!$W$12</f>
        <v>0.06</v>
      </c>
      <c r="F140" s="6" t="n">
        <f aca="false">D140*((1+E140)^((C140-IF(B140=1,01_Lease_Master!$D$12,C139))/365)-1)</f>
        <v>935.881062791854</v>
      </c>
      <c r="G140" s="1" t="n">
        <f aca="false">IF(C140=01_Lease_Master!$V$12,01_Lease_Master!$U$12,0)</f>
        <v>0</v>
      </c>
      <c r="H140" s="6" t="n">
        <f aca="false">MAX(0,D140+F140-G140)</f>
        <v>189578.524820044</v>
      </c>
      <c r="I140" s="6" t="n">
        <f aca="false">H140*IF(AND(01_Lease_Master!$Y$12&gt;0,01_Lease_Master!$Z$12&gt;0),01_Lease_Master!$Y$12*01_Lease_Master!$Z$12,01_Lease_Master!$X$12)</f>
        <v>3412.41344676078</v>
      </c>
      <c r="J140" s="6" t="n">
        <f aca="false">MAX(0,H140-I140)</f>
        <v>186166.111373283</v>
      </c>
      <c r="K140" s="1" t="s">
        <v>162</v>
      </c>
    </row>
    <row r="141" customFormat="false" ht="15" hidden="false" customHeight="true" outlineLevel="0" collapsed="false">
      <c r="A141" s="1" t="s">
        <v>94</v>
      </c>
      <c r="B141" s="1" t="n">
        <v>4</v>
      </c>
      <c r="C141" s="7" t="n">
        <v>45689</v>
      </c>
      <c r="D141" s="6" t="n">
        <f aca="false">H140</f>
        <v>189578.524820044</v>
      </c>
      <c r="E141" s="6" t="n">
        <f aca="false">01_Lease_Master!$W$12</f>
        <v>0.06</v>
      </c>
      <c r="F141" s="6" t="n">
        <f aca="false">D141*((1+E141)^((C141-IF(B141=1,01_Lease_Master!$D$12,C140))/365)-1)</f>
        <v>940.524092311837</v>
      </c>
      <c r="G141" s="1" t="n">
        <f aca="false">IF(C141=01_Lease_Master!$V$12,01_Lease_Master!$U$12,0)</f>
        <v>0</v>
      </c>
      <c r="H141" s="6" t="n">
        <f aca="false">MAX(0,D141+F141-G141)</f>
        <v>190519.048912355</v>
      </c>
      <c r="I141" s="6" t="n">
        <f aca="false">H141*IF(AND(01_Lease_Master!$Y$12&gt;0,01_Lease_Master!$Z$12&gt;0),01_Lease_Master!$Y$12*01_Lease_Master!$Z$12,01_Lease_Master!$X$12)</f>
        <v>3429.3428804224</v>
      </c>
      <c r="J141" s="6" t="n">
        <f aca="false">MAX(0,H141-I141)</f>
        <v>187089.706031933</v>
      </c>
      <c r="K141" s="1" t="s">
        <v>162</v>
      </c>
    </row>
    <row r="142" customFormat="false" ht="15" hidden="false" customHeight="true" outlineLevel="0" collapsed="false">
      <c r="A142" s="1" t="s">
        <v>94</v>
      </c>
      <c r="B142" s="1" t="n">
        <v>5</v>
      </c>
      <c r="C142" s="7" t="n">
        <v>45717</v>
      </c>
      <c r="D142" s="6" t="n">
        <f aca="false">H141</f>
        <v>190519.048912355</v>
      </c>
      <c r="E142" s="6" t="n">
        <f aca="false">01_Lease_Master!$W$12</f>
        <v>0.06</v>
      </c>
      <c r="F142" s="6" t="n">
        <f aca="false">D142*((1+E142)^((C142-IF(B142=1,01_Lease_Master!$D$12,C141))/365)-1)</f>
        <v>853.515572515542</v>
      </c>
      <c r="G142" s="1" t="n">
        <f aca="false">IF(C142=01_Lease_Master!$V$12,01_Lease_Master!$U$12,0)</f>
        <v>0</v>
      </c>
      <c r="H142" s="6" t="n">
        <f aca="false">MAX(0,D142+F142-G142)</f>
        <v>191372.564484871</v>
      </c>
      <c r="I142" s="6" t="n">
        <f aca="false">H142*IF(AND(01_Lease_Master!$Y$12&gt;0,01_Lease_Master!$Z$12&gt;0),01_Lease_Master!$Y$12*01_Lease_Master!$Z$12,01_Lease_Master!$X$12)</f>
        <v>3444.70616072768</v>
      </c>
      <c r="J142" s="6" t="n">
        <f aca="false">MAX(0,H142-I142)</f>
        <v>187927.858324143</v>
      </c>
      <c r="K142" s="1" t="s">
        <v>162</v>
      </c>
    </row>
    <row r="143" customFormat="false" ht="15" hidden="false" customHeight="true" outlineLevel="0" collapsed="false">
      <c r="A143" s="1" t="s">
        <v>94</v>
      </c>
      <c r="B143" s="1" t="n">
        <v>6</v>
      </c>
      <c r="C143" s="7" t="n">
        <v>45748</v>
      </c>
      <c r="D143" s="6" t="n">
        <f aca="false">H142</f>
        <v>191372.564484871</v>
      </c>
      <c r="E143" s="6" t="n">
        <f aca="false">01_Lease_Master!$W$12</f>
        <v>0.06</v>
      </c>
      <c r="F143" s="6" t="n">
        <f aca="false">D143*((1+E143)^((C143-IF(B143=1,01_Lease_Master!$D$12,C142))/365)-1)</f>
        <v>949.424559962035</v>
      </c>
      <c r="G143" s="1" t="n">
        <f aca="false">IF(C143=01_Lease_Master!$V$12,01_Lease_Master!$U$12,0)</f>
        <v>0</v>
      </c>
      <c r="H143" s="6" t="n">
        <f aca="false">MAX(0,D143+F143-G143)</f>
        <v>192321.989044833</v>
      </c>
      <c r="I143" s="6" t="n">
        <f aca="false">H143*IF(AND(01_Lease_Master!$Y$12&gt;0,01_Lease_Master!$Z$12&gt;0),01_Lease_Master!$Y$12*01_Lease_Master!$Z$12,01_Lease_Master!$X$12)</f>
        <v>3461.79580280699</v>
      </c>
      <c r="J143" s="6" t="n">
        <f aca="false">MAX(0,H143-I143)</f>
        <v>188860.193242026</v>
      </c>
      <c r="K143" s="1" t="s">
        <v>162</v>
      </c>
    </row>
    <row r="144" customFormat="false" ht="15" hidden="false" customHeight="true" outlineLevel="0" collapsed="false">
      <c r="A144" s="1" t="s">
        <v>94</v>
      </c>
      <c r="B144" s="1" t="n">
        <v>7</v>
      </c>
      <c r="C144" s="7" t="n">
        <v>45778</v>
      </c>
      <c r="D144" s="6" t="n">
        <f aca="false">H143</f>
        <v>192321.989044833</v>
      </c>
      <c r="E144" s="6" t="n">
        <f aca="false">01_Lease_Master!$W$12</f>
        <v>0.06</v>
      </c>
      <c r="F144" s="6" t="n">
        <f aca="false">D144*((1+E144)^((C144-IF(B144=1,01_Lease_Master!$D$12,C143))/365)-1)</f>
        <v>923.282479702483</v>
      </c>
      <c r="G144" s="1" t="n">
        <f aca="false">IF(C144=01_Lease_Master!$V$12,01_Lease_Master!$U$12,0)</f>
        <v>0</v>
      </c>
      <c r="H144" s="6" t="n">
        <f aca="false">MAX(0,D144+F144-G144)</f>
        <v>193245.271524536</v>
      </c>
      <c r="I144" s="6" t="n">
        <f aca="false">H144*IF(AND(01_Lease_Master!$Y$12&gt;0,01_Lease_Master!$Z$12&gt;0),01_Lease_Master!$Y$12*01_Lease_Master!$Z$12,01_Lease_Master!$X$12)</f>
        <v>3478.41488744164</v>
      </c>
      <c r="J144" s="6" t="n">
        <f aca="false">MAX(0,H144-I144)</f>
        <v>189766.856637094</v>
      </c>
      <c r="K144" s="1" t="s">
        <v>162</v>
      </c>
    </row>
    <row r="145" customFormat="false" ht="15" hidden="false" customHeight="true" outlineLevel="0" collapsed="false">
      <c r="A145" s="1" t="s">
        <v>94</v>
      </c>
      <c r="B145" s="1" t="n">
        <v>8</v>
      </c>
      <c r="C145" s="7" t="n">
        <v>45809</v>
      </c>
      <c r="D145" s="6" t="n">
        <f aca="false">H144</f>
        <v>193245.271524536</v>
      </c>
      <c r="E145" s="6" t="n">
        <f aca="false">01_Lease_Master!$W$12</f>
        <v>0.06</v>
      </c>
      <c r="F145" s="6" t="n">
        <f aca="false">D145*((1+E145)^((C145-IF(B145=1,01_Lease_Master!$D$12,C144))/365)-1)</f>
        <v>958.715306845515</v>
      </c>
      <c r="G145" s="1" t="n">
        <f aca="false">IF(C145=01_Lease_Master!$V$12,01_Lease_Master!$U$12,0)</f>
        <v>0</v>
      </c>
      <c r="H145" s="6" t="n">
        <f aca="false">MAX(0,D145+F145-G145)</f>
        <v>194203.986831381</v>
      </c>
      <c r="I145" s="6" t="n">
        <f aca="false">H145*IF(AND(01_Lease_Master!$Y$12&gt;0,01_Lease_Master!$Z$12&gt;0),01_Lease_Master!$Y$12*01_Lease_Master!$Z$12,01_Lease_Master!$X$12)</f>
        <v>3495.67176296486</v>
      </c>
      <c r="J145" s="6" t="n">
        <f aca="false">MAX(0,H145-I145)</f>
        <v>190708.315068416</v>
      </c>
      <c r="K145" s="1" t="s">
        <v>162</v>
      </c>
    </row>
    <row r="146" customFormat="false" ht="15" hidden="false" customHeight="true" outlineLevel="0" collapsed="false">
      <c r="A146" s="1" t="s">
        <v>94</v>
      </c>
      <c r="B146" s="1" t="n">
        <v>9</v>
      </c>
      <c r="C146" s="7" t="n">
        <v>45839</v>
      </c>
      <c r="D146" s="6" t="n">
        <f aca="false">H145</f>
        <v>194203.986831381</v>
      </c>
      <c r="E146" s="6" t="n">
        <f aca="false">01_Lease_Master!$W$12</f>
        <v>0.06</v>
      </c>
      <c r="F146" s="6" t="n">
        <f aca="false">D146*((1+E146)^((C146-IF(B146=1,01_Lease_Master!$D$12,C145))/365)-1)</f>
        <v>932.317409050856</v>
      </c>
      <c r="G146" s="1" t="n">
        <f aca="false">IF(C146=01_Lease_Master!$V$12,01_Lease_Master!$U$12,0)</f>
        <v>0</v>
      </c>
      <c r="H146" s="6" t="n">
        <f aca="false">MAX(0,D146+F146-G146)</f>
        <v>195136.304240432</v>
      </c>
      <c r="I146" s="6" t="n">
        <f aca="false">H146*IF(AND(01_Lease_Master!$Y$12&gt;0,01_Lease_Master!$Z$12&gt;0),01_Lease_Master!$Y$12*01_Lease_Master!$Z$12,01_Lease_Master!$X$12)</f>
        <v>3512.45347632777</v>
      </c>
      <c r="J146" s="6" t="n">
        <f aca="false">MAX(0,H146-I146)</f>
        <v>191623.850764104</v>
      </c>
      <c r="K146" s="1" t="s">
        <v>162</v>
      </c>
    </row>
    <row r="147" customFormat="false" ht="15" hidden="false" customHeight="true" outlineLevel="0" collapsed="false">
      <c r="A147" s="1" t="s">
        <v>94</v>
      </c>
      <c r="B147" s="1" t="n">
        <v>10</v>
      </c>
      <c r="C147" s="7" t="n">
        <v>45870</v>
      </c>
      <c r="D147" s="6" t="n">
        <f aca="false">H146</f>
        <v>195136.304240432</v>
      </c>
      <c r="E147" s="6" t="n">
        <f aca="false">01_Lease_Master!$W$12</f>
        <v>0.06</v>
      </c>
      <c r="F147" s="6" t="n">
        <f aca="false">D147*((1+E147)^((C147-IF(B147=1,01_Lease_Master!$D$12,C146))/365)-1)</f>
        <v>968.09696982838</v>
      </c>
      <c r="G147" s="1" t="n">
        <f aca="false">IF(C147=01_Lease_Master!$V$12,01_Lease_Master!$U$12,0)</f>
        <v>0</v>
      </c>
      <c r="H147" s="6" t="n">
        <f aca="false">MAX(0,D147+F147-G147)</f>
        <v>196104.40121026</v>
      </c>
      <c r="I147" s="6" t="n">
        <f aca="false">H147*IF(AND(01_Lease_Master!$Y$12&gt;0,01_Lease_Master!$Z$12&gt;0),01_Lease_Master!$Y$12*01_Lease_Master!$Z$12,01_Lease_Master!$X$12)</f>
        <v>3529.87922178468</v>
      </c>
      <c r="J147" s="6" t="n">
        <f aca="false">MAX(0,H147-I147)</f>
        <v>192574.521988476</v>
      </c>
      <c r="K147" s="1" t="s">
        <v>162</v>
      </c>
    </row>
    <row r="148" customFormat="false" ht="15" hidden="false" customHeight="true" outlineLevel="0" collapsed="false">
      <c r="A148" s="1" t="s">
        <v>94</v>
      </c>
      <c r="B148" s="1" t="n">
        <v>11</v>
      </c>
      <c r="C148" s="7" t="n">
        <v>45901</v>
      </c>
      <c r="D148" s="6" t="n">
        <f aca="false">H147</f>
        <v>196104.40121026</v>
      </c>
      <c r="E148" s="6" t="n">
        <f aca="false">01_Lease_Master!$W$12</f>
        <v>0.06</v>
      </c>
      <c r="F148" s="6" t="n">
        <f aca="false">D148*((1+E148)^((C148-IF(B148=1,01_Lease_Master!$D$12,C147))/365)-1)</f>
        <v>972.899826716743</v>
      </c>
      <c r="G148" s="1" t="n">
        <f aca="false">IF(C148=01_Lease_Master!$V$12,01_Lease_Master!$U$12,0)</f>
        <v>0</v>
      </c>
      <c r="H148" s="6" t="n">
        <f aca="false">MAX(0,D148+F148-G148)</f>
        <v>197077.301036977</v>
      </c>
      <c r="I148" s="6" t="n">
        <f aca="false">H148*IF(AND(01_Lease_Master!$Y$12&gt;0,01_Lease_Master!$Z$12&gt;0),01_Lease_Master!$Y$12*01_Lease_Master!$Z$12,01_Lease_Master!$X$12)</f>
        <v>3547.39141866559</v>
      </c>
      <c r="J148" s="6" t="n">
        <f aca="false">MAX(0,H148-I148)</f>
        <v>193529.909618311</v>
      </c>
      <c r="K148" s="1" t="s">
        <v>162</v>
      </c>
    </row>
    <row r="149" customFormat="false" ht="15" hidden="false" customHeight="true" outlineLevel="0" collapsed="false">
      <c r="A149" s="1" t="s">
        <v>94</v>
      </c>
      <c r="B149" s="1" t="n">
        <v>12</v>
      </c>
      <c r="C149" s="7" t="n">
        <v>45931</v>
      </c>
      <c r="D149" s="6" t="n">
        <f aca="false">H148</f>
        <v>197077.301036977</v>
      </c>
      <c r="E149" s="6" t="n">
        <f aca="false">01_Lease_Master!$W$12</f>
        <v>0.06</v>
      </c>
      <c r="F149" s="6" t="n">
        <f aca="false">D149*((1+E149)^((C149-IF(B149=1,01_Lease_Master!$D$12,C148))/365)-1)</f>
        <v>946.111363022955</v>
      </c>
      <c r="G149" s="1" t="n">
        <f aca="false">IF(C149=01_Lease_Master!$V$12,01_Lease_Master!$U$12,0)</f>
        <v>0</v>
      </c>
      <c r="H149" s="6" t="n">
        <f aca="false">MAX(0,D149+F149-G149)</f>
        <v>198023.4124</v>
      </c>
      <c r="I149" s="6" t="n">
        <f aca="false">H149*IF(AND(01_Lease_Master!$Y$12&gt;0,01_Lease_Master!$Z$12&gt;0),01_Lease_Master!$Y$12*01_Lease_Master!$Z$12,01_Lease_Master!$X$12)</f>
        <v>3564.4214232</v>
      </c>
      <c r="J149" s="6" t="n">
        <f aca="false">MAX(0,H149-I149)</f>
        <v>194458.9909768</v>
      </c>
      <c r="K149" s="1" t="s">
        <v>162</v>
      </c>
    </row>
    <row r="150" customFormat="false" ht="15" hidden="false" customHeight="true" outlineLevel="0" collapsed="false">
      <c r="A150" s="1" t="s">
        <v>94</v>
      </c>
      <c r="B150" s="1" t="n">
        <v>13</v>
      </c>
      <c r="C150" s="7" t="n">
        <v>45962</v>
      </c>
      <c r="D150" s="6" t="n">
        <f aca="false">H149</f>
        <v>198023.4124</v>
      </c>
      <c r="E150" s="6" t="n">
        <f aca="false">01_Lease_Master!$W$12</f>
        <v>0.06</v>
      </c>
      <c r="F150" s="6" t="n">
        <f aca="false">D150*((1+E150)^((C150-IF(B150=1,01_Lease_Master!$D$12,C149))/365)-1)</f>
        <v>982.420294602436</v>
      </c>
      <c r="G150" s="1" t="n">
        <f aca="false">IF(C150=01_Lease_Master!$V$12,01_Lease_Master!$U$12,0)</f>
        <v>0</v>
      </c>
      <c r="H150" s="6" t="n">
        <f aca="false">MAX(0,D150+F150-G150)</f>
        <v>199005.832694602</v>
      </c>
      <c r="I150" s="6" t="n">
        <f aca="false">H150*IF(AND(01_Lease_Master!$Y$12&gt;0,01_Lease_Master!$Z$12&gt;0),01_Lease_Master!$Y$12*01_Lease_Master!$Z$12,01_Lease_Master!$X$12)</f>
        <v>3582.10498850284</v>
      </c>
      <c r="J150" s="6" t="n">
        <f aca="false">MAX(0,H150-I150)</f>
        <v>195423.7277061</v>
      </c>
      <c r="K150" s="1" t="s">
        <v>162</v>
      </c>
    </row>
    <row r="151" customFormat="false" ht="15" hidden="false" customHeight="true" outlineLevel="0" collapsed="false">
      <c r="A151" s="1" t="s">
        <v>94</v>
      </c>
      <c r="B151" s="1" t="n">
        <v>14</v>
      </c>
      <c r="C151" s="7" t="n">
        <v>45992</v>
      </c>
      <c r="D151" s="6" t="n">
        <f aca="false">H150</f>
        <v>199005.832694602</v>
      </c>
      <c r="E151" s="6" t="n">
        <f aca="false">01_Lease_Master!$W$12</f>
        <v>0.06</v>
      </c>
      <c r="F151" s="6" t="n">
        <f aca="false">D151*((1+E151)^((C151-IF(B151=1,01_Lease_Master!$D$12,C150))/365)-1)</f>
        <v>955.369688084382</v>
      </c>
      <c r="G151" s="1" t="n">
        <f aca="false">IF(C151=01_Lease_Master!$V$12,01_Lease_Master!$U$12,0)</f>
        <v>0</v>
      </c>
      <c r="H151" s="6" t="n">
        <f aca="false">MAX(0,D151+F151-G151)</f>
        <v>199961.202382687</v>
      </c>
      <c r="I151" s="6" t="n">
        <f aca="false">H151*IF(AND(01_Lease_Master!$Y$12&gt;0,01_Lease_Master!$Z$12&gt;0),01_Lease_Master!$Y$12*01_Lease_Master!$Z$12,01_Lease_Master!$X$12)</f>
        <v>3599.30164288836</v>
      </c>
      <c r="J151" s="6" t="n">
        <f aca="false">MAX(0,H151-I151)</f>
        <v>196361.900739798</v>
      </c>
      <c r="K151" s="1" t="s">
        <v>162</v>
      </c>
    </row>
    <row r="152" customFormat="false" ht="15" hidden="false" customHeight="true" outlineLevel="0" collapsed="false">
      <c r="A152" s="1" t="s">
        <v>94</v>
      </c>
      <c r="B152" s="1" t="n">
        <v>15</v>
      </c>
      <c r="C152" s="7" t="n">
        <v>46023</v>
      </c>
      <c r="D152" s="6" t="n">
        <f aca="false">H151</f>
        <v>199961.202382687</v>
      </c>
      <c r="E152" s="6" t="n">
        <f aca="false">01_Lease_Master!$W$12</f>
        <v>0.06</v>
      </c>
      <c r="F152" s="6" t="n">
        <f aca="false">D152*((1+E152)^((C152-IF(B152=1,01_Lease_Master!$D$12,C151))/365)-1)</f>
        <v>992.033926559365</v>
      </c>
      <c r="G152" s="1" t="n">
        <f aca="false">IF(C152=01_Lease_Master!$V$12,01_Lease_Master!$U$12,0)</f>
        <v>0</v>
      </c>
      <c r="H152" s="6" t="n">
        <f aca="false">MAX(0,D152+F152-G152)</f>
        <v>200953.236309246</v>
      </c>
      <c r="I152" s="6" t="n">
        <f aca="false">H152*IF(AND(01_Lease_Master!$Y$12&gt;0,01_Lease_Master!$Z$12&gt;0),01_Lease_Master!$Y$12*01_Lease_Master!$Z$12,01_Lease_Master!$X$12)</f>
        <v>3617.15825356643</v>
      </c>
      <c r="J152" s="6" t="n">
        <f aca="false">MAX(0,H152-I152)</f>
        <v>197336.07805568</v>
      </c>
      <c r="K152" s="1" t="s">
        <v>162</v>
      </c>
    </row>
    <row r="153" customFormat="false" ht="15" hidden="false" customHeight="true" outlineLevel="0" collapsed="false">
      <c r="A153" s="1" t="s">
        <v>94</v>
      </c>
      <c r="B153" s="1" t="n">
        <v>16</v>
      </c>
      <c r="C153" s="7" t="n">
        <v>46054</v>
      </c>
      <c r="D153" s="6" t="n">
        <f aca="false">H152</f>
        <v>200953.236309246</v>
      </c>
      <c r="E153" s="6" t="n">
        <f aca="false">01_Lease_Master!$W$12</f>
        <v>0.06</v>
      </c>
      <c r="F153" s="6" t="n">
        <f aca="false">D153*((1+E153)^((C153-IF(B153=1,01_Lease_Master!$D$12,C152))/365)-1)</f>
        <v>996.955537850547</v>
      </c>
      <c r="G153" s="1" t="n">
        <f aca="false">IF(C153=01_Lease_Master!$V$12,01_Lease_Master!$U$12,0)</f>
        <v>0</v>
      </c>
      <c r="H153" s="6" t="n">
        <f aca="false">MAX(0,D153+F153-G153)</f>
        <v>201950.191847097</v>
      </c>
      <c r="I153" s="6" t="n">
        <f aca="false">H153*IF(AND(01_Lease_Master!$Y$12&gt;0,01_Lease_Master!$Z$12&gt;0),01_Lease_Master!$Y$12*01_Lease_Master!$Z$12,01_Lease_Master!$X$12)</f>
        <v>3635.10345324774</v>
      </c>
      <c r="J153" s="6" t="n">
        <f aca="false">MAX(0,H153-I153)</f>
        <v>198315.088393849</v>
      </c>
      <c r="K153" s="1" t="s">
        <v>162</v>
      </c>
    </row>
    <row r="154" customFormat="false" ht="15" hidden="false" customHeight="true" outlineLevel="0" collapsed="false">
      <c r="A154" s="1" t="s">
        <v>94</v>
      </c>
      <c r="B154" s="1" t="n">
        <v>17</v>
      </c>
      <c r="C154" s="7" t="n">
        <v>46082</v>
      </c>
      <c r="D154" s="6" t="n">
        <f aca="false">H153</f>
        <v>201950.191847097</v>
      </c>
      <c r="E154" s="6" t="n">
        <f aca="false">01_Lease_Master!$W$12</f>
        <v>0.06</v>
      </c>
      <c r="F154" s="6" t="n">
        <f aca="false">D154*((1+E154)^((C154-IF(B154=1,01_Lease_Master!$D$12,C153))/365)-1)</f>
        <v>904.726506866474</v>
      </c>
      <c r="G154" s="1" t="n">
        <f aca="false">IF(C154=01_Lease_Master!$V$12,01_Lease_Master!$U$12,0)</f>
        <v>0</v>
      </c>
      <c r="H154" s="6" t="n">
        <f aca="false">MAX(0,D154+F154-G154)</f>
        <v>202854.918353963</v>
      </c>
      <c r="I154" s="6" t="n">
        <f aca="false">H154*IF(AND(01_Lease_Master!$Y$12&gt;0,01_Lease_Master!$Z$12&gt;0),01_Lease_Master!$Y$12*01_Lease_Master!$Z$12,01_Lease_Master!$X$12)</f>
        <v>3651.38853037134</v>
      </c>
      <c r="J154" s="6" t="n">
        <f aca="false">MAX(0,H154-I154)</f>
        <v>199203.529823592</v>
      </c>
      <c r="K154" s="1" t="s">
        <v>162</v>
      </c>
    </row>
    <row r="155" customFormat="false" ht="15" hidden="false" customHeight="true" outlineLevel="0" collapsed="false">
      <c r="A155" s="1" t="s">
        <v>94</v>
      </c>
      <c r="B155" s="1" t="n">
        <v>18</v>
      </c>
      <c r="C155" s="7" t="n">
        <v>46113</v>
      </c>
      <c r="D155" s="6" t="n">
        <f aca="false">H154</f>
        <v>202854.918353963</v>
      </c>
      <c r="E155" s="6" t="n">
        <f aca="false">01_Lease_Master!$W$12</f>
        <v>0.06</v>
      </c>
      <c r="F155" s="6" t="n">
        <f aca="false">D155*((1+E155)^((C155-IF(B155=1,01_Lease_Master!$D$12,C154))/365)-1)</f>
        <v>1006.39003355976</v>
      </c>
      <c r="G155" s="1" t="n">
        <f aca="false">IF(C155=01_Lease_Master!$V$12,01_Lease_Master!$U$12,0)</f>
        <v>0</v>
      </c>
      <c r="H155" s="6" t="n">
        <f aca="false">MAX(0,D155+F155-G155)</f>
        <v>203861.308387523</v>
      </c>
      <c r="I155" s="6" t="n">
        <f aca="false">H155*IF(AND(01_Lease_Master!$Y$12&gt;0,01_Lease_Master!$Z$12&gt;0),01_Lease_Master!$Y$12*01_Lease_Master!$Z$12,01_Lease_Master!$X$12)</f>
        <v>3669.50355097541</v>
      </c>
      <c r="J155" s="6" t="n">
        <f aca="false">MAX(0,H155-I155)</f>
        <v>200191.804836548</v>
      </c>
      <c r="K155" s="1" t="s">
        <v>162</v>
      </c>
    </row>
    <row r="156" customFormat="false" ht="15" hidden="false" customHeight="true" outlineLevel="0" collapsed="false">
      <c r="A156" s="1" t="s">
        <v>94</v>
      </c>
      <c r="B156" s="1" t="n">
        <v>19</v>
      </c>
      <c r="C156" s="7" t="n">
        <v>46143</v>
      </c>
      <c r="D156" s="6" t="n">
        <f aca="false">H155</f>
        <v>203861.308387523</v>
      </c>
      <c r="E156" s="6" t="n">
        <f aca="false">01_Lease_Master!$W$12</f>
        <v>0.06</v>
      </c>
      <c r="F156" s="6" t="n">
        <f aca="false">D156*((1+E156)^((C156-IF(B156=1,01_Lease_Master!$D$12,C155))/365)-1)</f>
        <v>978.679428484632</v>
      </c>
      <c r="G156" s="1" t="n">
        <f aca="false">IF(C156=01_Lease_Master!$V$12,01_Lease_Master!$U$12,0)</f>
        <v>0</v>
      </c>
      <c r="H156" s="6" t="n">
        <f aca="false">MAX(0,D156+F156-G156)</f>
        <v>204839.987816008</v>
      </c>
      <c r="I156" s="6" t="n">
        <f aca="false">H156*IF(AND(01_Lease_Master!$Y$12&gt;0,01_Lease_Master!$Z$12&gt;0),01_Lease_Master!$Y$12*01_Lease_Master!$Z$12,01_Lease_Master!$X$12)</f>
        <v>3687.11978068814</v>
      </c>
      <c r="J156" s="6" t="n">
        <f aca="false">MAX(0,H156-I156)</f>
        <v>201152.868035319</v>
      </c>
      <c r="K156" s="1" t="s">
        <v>162</v>
      </c>
    </row>
    <row r="157" customFormat="false" ht="15" hidden="false" customHeight="true" outlineLevel="0" collapsed="false">
      <c r="A157" s="1" t="s">
        <v>94</v>
      </c>
      <c r="B157" s="1" t="n">
        <v>20</v>
      </c>
      <c r="C157" s="7" t="n">
        <v>46174</v>
      </c>
      <c r="D157" s="6" t="n">
        <f aca="false">H156</f>
        <v>204839.987816008</v>
      </c>
      <c r="E157" s="6" t="n">
        <f aca="false">01_Lease_Master!$W$12</f>
        <v>0.06</v>
      </c>
      <c r="F157" s="6" t="n">
        <f aca="false">D157*((1+E157)^((C157-IF(B157=1,01_Lease_Master!$D$12,C156))/365)-1)</f>
        <v>1016.23822525625</v>
      </c>
      <c r="G157" s="1" t="n">
        <f aca="false">IF(C157=01_Lease_Master!$V$12,01_Lease_Master!$U$12,0)</f>
        <v>0</v>
      </c>
      <c r="H157" s="6" t="n">
        <f aca="false">MAX(0,D157+F157-G157)</f>
        <v>205856.226041264</v>
      </c>
      <c r="I157" s="6" t="n">
        <f aca="false">H157*IF(AND(01_Lease_Master!$Y$12&gt;0,01_Lease_Master!$Z$12&gt;0),01_Lease_Master!$Y$12*01_Lease_Master!$Z$12,01_Lease_Master!$X$12)</f>
        <v>3705.41206874275</v>
      </c>
      <c r="J157" s="6" t="n">
        <f aca="false">MAX(0,H157-I157)</f>
        <v>202150.813972521</v>
      </c>
      <c r="K157" s="1" t="s">
        <v>162</v>
      </c>
    </row>
    <row r="158" customFormat="false" ht="15" hidden="false" customHeight="true" outlineLevel="0" collapsed="false">
      <c r="A158" s="1" t="s">
        <v>94</v>
      </c>
      <c r="B158" s="1" t="n">
        <v>21</v>
      </c>
      <c r="C158" s="7" t="n">
        <v>46204</v>
      </c>
      <c r="D158" s="6" t="n">
        <f aca="false">H157</f>
        <v>205856.226041264</v>
      </c>
      <c r="E158" s="6" t="n">
        <f aca="false">01_Lease_Master!$W$12</f>
        <v>0.06</v>
      </c>
      <c r="F158" s="6" t="n">
        <f aca="false">D158*((1+E158)^((C158-IF(B158=1,01_Lease_Master!$D$12,C157))/365)-1)</f>
        <v>988.256453593907</v>
      </c>
      <c r="G158" s="1" t="n">
        <f aca="false">IF(C158=01_Lease_Master!$V$12,01_Lease_Master!$U$12,0)</f>
        <v>0</v>
      </c>
      <c r="H158" s="6" t="n">
        <f aca="false">MAX(0,D158+F158-G158)</f>
        <v>206844.482494858</v>
      </c>
      <c r="I158" s="6" t="n">
        <f aca="false">H158*IF(AND(01_Lease_Master!$Y$12&gt;0,01_Lease_Master!$Z$12&gt;0),01_Lease_Master!$Y$12*01_Lease_Master!$Z$12,01_Lease_Master!$X$12)</f>
        <v>3723.20068490744</v>
      </c>
      <c r="J158" s="6" t="n">
        <f aca="false">MAX(0,H158-I158)</f>
        <v>203121.28180995</v>
      </c>
      <c r="K158" s="1" t="s">
        <v>162</v>
      </c>
    </row>
    <row r="159" customFormat="false" ht="15" hidden="false" customHeight="true" outlineLevel="0" collapsed="false">
      <c r="A159" s="1" t="s">
        <v>94</v>
      </c>
      <c r="B159" s="1" t="n">
        <v>22</v>
      </c>
      <c r="C159" s="7" t="n">
        <v>46235</v>
      </c>
      <c r="D159" s="6" t="n">
        <f aca="false">H158</f>
        <v>206844.482494858</v>
      </c>
      <c r="E159" s="6" t="n">
        <f aca="false">01_Lease_Master!$W$12</f>
        <v>0.06</v>
      </c>
      <c r="F159" s="6" t="n">
        <f aca="false">D159*((1+E159)^((C159-IF(B159=1,01_Lease_Master!$D$12,C158))/365)-1)</f>
        <v>1026.18278801808</v>
      </c>
      <c r="G159" s="1" t="n">
        <f aca="false">IF(C159=01_Lease_Master!$V$12,01_Lease_Master!$U$12,0)</f>
        <v>0</v>
      </c>
      <c r="H159" s="6" t="n">
        <f aca="false">MAX(0,D159+F159-G159)</f>
        <v>207870.665282876</v>
      </c>
      <c r="I159" s="6" t="n">
        <f aca="false">H159*IF(AND(01_Lease_Master!$Y$12&gt;0,01_Lease_Master!$Z$12&gt;0),01_Lease_Master!$Y$12*01_Lease_Master!$Z$12,01_Lease_Master!$X$12)</f>
        <v>3741.67197509176</v>
      </c>
      <c r="J159" s="6" t="n">
        <f aca="false">MAX(0,H159-I159)</f>
        <v>204128.993307784</v>
      </c>
      <c r="K159" s="1" t="s">
        <v>162</v>
      </c>
    </row>
    <row r="160" customFormat="false" ht="15" hidden="false" customHeight="true" outlineLevel="0" collapsed="false">
      <c r="A160" s="1" t="s">
        <v>94</v>
      </c>
      <c r="B160" s="1" t="n">
        <v>23</v>
      </c>
      <c r="C160" s="7" t="n">
        <v>46266</v>
      </c>
      <c r="D160" s="6" t="n">
        <f aca="false">H159</f>
        <v>207870.665282876</v>
      </c>
      <c r="E160" s="6" t="n">
        <f aca="false">01_Lease_Master!$W$12</f>
        <v>0.06</v>
      </c>
      <c r="F160" s="6" t="n">
        <f aca="false">D160*((1+E160)^((C160-IF(B160=1,01_Lease_Master!$D$12,C159))/365)-1)</f>
        <v>1031.27381631975</v>
      </c>
      <c r="G160" s="1" t="n">
        <f aca="false">IF(C160=01_Lease_Master!$V$12,01_Lease_Master!$U$12,0)</f>
        <v>0</v>
      </c>
      <c r="H160" s="6" t="n">
        <f aca="false">MAX(0,D160+F160-G160)</f>
        <v>208901.939099196</v>
      </c>
      <c r="I160" s="6" t="n">
        <f aca="false">H160*IF(AND(01_Lease_Master!$Y$12&gt;0,01_Lease_Master!$Z$12&gt;0),01_Lease_Master!$Y$12*01_Lease_Master!$Z$12,01_Lease_Master!$X$12)</f>
        <v>3760.23490378552</v>
      </c>
      <c r="J160" s="6" t="n">
        <f aca="false">MAX(0,H160-I160)</f>
        <v>205141.70419541</v>
      </c>
      <c r="K160" s="1" t="s">
        <v>162</v>
      </c>
    </row>
    <row r="161" customFormat="false" ht="15" hidden="false" customHeight="true" outlineLevel="0" collapsed="false">
      <c r="A161" s="1" t="s">
        <v>94</v>
      </c>
      <c r="B161" s="1" t="n">
        <v>24</v>
      </c>
      <c r="C161" s="7" t="n">
        <v>46271</v>
      </c>
      <c r="D161" s="6" t="n">
        <f aca="false">H160</f>
        <v>208901.939099196</v>
      </c>
      <c r="E161" s="6" t="n">
        <f aca="false">01_Lease_Master!$W$12</f>
        <v>0.06</v>
      </c>
      <c r="F161" s="6" t="n">
        <f aca="false">D161*((1+E161)^((C161-IF(B161=1,01_Lease_Master!$D$12,C160))/365)-1)</f>
        <v>166.812976092257</v>
      </c>
      <c r="G161" s="1" t="n">
        <f aca="false">IF(C161=01_Lease_Master!$V$12,01_Lease_Master!$U$12,0)</f>
        <v>0</v>
      </c>
      <c r="H161" s="6" t="n">
        <f aca="false">MAX(0,D161+F161-G161)</f>
        <v>209068.752075288</v>
      </c>
      <c r="I161" s="6" t="n">
        <f aca="false">H161*IF(AND(01_Lease_Master!$Y$12&gt;0,01_Lease_Master!$Z$12&gt;0),01_Lease_Master!$Y$12*01_Lease_Master!$Z$12,01_Lease_Master!$X$12)</f>
        <v>3763.23753735518</v>
      </c>
      <c r="J161" s="6" t="n">
        <f aca="false">MAX(0,H161-I161)</f>
        <v>205305.514537933</v>
      </c>
      <c r="K161" s="1" t="s">
        <v>162</v>
      </c>
    </row>
    <row r="162" customFormat="false" ht="15" hidden="false" customHeight="true" outlineLevel="0" collapsed="false">
      <c r="A162" s="1" t="s">
        <v>101</v>
      </c>
      <c r="B162" s="1" t="n">
        <v>1</v>
      </c>
      <c r="C162" s="7" t="n">
        <v>45839</v>
      </c>
      <c r="D162" s="6" t="n">
        <f aca="false">IF(01_Lease_Master!$D$14&gt;$B$3,0,ROUND(01_Lease_Master!$U$14-03_Initial_Recognition!$H$14,2))</f>
        <v>79209.37</v>
      </c>
      <c r="E162" s="6" t="n">
        <f aca="false">01_Lease_Master!$W$14</f>
        <v>0.06</v>
      </c>
      <c r="F162" s="6" t="n">
        <f aca="false">D162*((1+E162)^((C162-IF(B162=1,01_Lease_Master!$D$14,C161))/365)-1)</f>
        <v>380.261372672384</v>
      </c>
      <c r="G162" s="1" t="n">
        <f aca="false">IF(C162=01_Lease_Master!$V$14,01_Lease_Master!$U$14,0)</f>
        <v>0</v>
      </c>
      <c r="H162" s="6" t="n">
        <f aca="false">MAX(0,D162+F162-G162)</f>
        <v>79589.6313726724</v>
      </c>
      <c r="I162" s="6" t="n">
        <f aca="false">H162*IF(AND(01_Lease_Master!$Y$14&gt;0,01_Lease_Master!$Z$14&gt;0),01_Lease_Master!$Y$14*01_Lease_Master!$Z$14,01_Lease_Master!$X$14)</f>
        <v>795.896313726724</v>
      </c>
      <c r="J162" s="6" t="n">
        <f aca="false">MAX(0,H162-I162)</f>
        <v>78793.7350589457</v>
      </c>
      <c r="K162" s="1" t="s">
        <v>162</v>
      </c>
    </row>
    <row r="163" customFormat="false" ht="15" hidden="false" customHeight="true" outlineLevel="0" collapsed="false">
      <c r="A163" s="1" t="s">
        <v>101</v>
      </c>
      <c r="B163" s="1" t="n">
        <v>2</v>
      </c>
      <c r="C163" s="7" t="n">
        <v>45870</v>
      </c>
      <c r="D163" s="6" t="n">
        <f aca="false">H162</f>
        <v>79589.6313726724</v>
      </c>
      <c r="E163" s="6" t="n">
        <f aca="false">01_Lease_Master!$W$14</f>
        <v>0.06</v>
      </c>
      <c r="F163" s="6" t="n">
        <f aca="false">D163*((1+E163)^((C163-IF(B163=1,01_Lease_Master!$D$14,C162))/365)-1)</f>
        <v>394.854669722074</v>
      </c>
      <c r="G163" s="1" t="n">
        <f aca="false">IF(C163=01_Lease_Master!$V$14,01_Lease_Master!$U$14,0)</f>
        <v>0</v>
      </c>
      <c r="H163" s="6" t="n">
        <f aca="false">MAX(0,D163+F163-G163)</f>
        <v>79984.4860423945</v>
      </c>
      <c r="I163" s="6" t="n">
        <f aca="false">H163*IF(AND(01_Lease_Master!$Y$14&gt;0,01_Lease_Master!$Z$14&gt;0),01_Lease_Master!$Y$14*01_Lease_Master!$Z$14,01_Lease_Master!$X$14)</f>
        <v>799.844860423945</v>
      </c>
      <c r="J163" s="6" t="n">
        <f aca="false">MAX(0,H163-I163)</f>
        <v>79184.6411819705</v>
      </c>
      <c r="K163" s="1" t="s">
        <v>162</v>
      </c>
    </row>
    <row r="164" customFormat="false" ht="15" hidden="false" customHeight="true" outlineLevel="0" collapsed="false">
      <c r="A164" s="1" t="s">
        <v>101</v>
      </c>
      <c r="B164" s="1" t="n">
        <v>3</v>
      </c>
      <c r="C164" s="7" t="n">
        <v>45901</v>
      </c>
      <c r="D164" s="6" t="n">
        <f aca="false">H163</f>
        <v>79984.4860423945</v>
      </c>
      <c r="E164" s="6" t="n">
        <f aca="false">01_Lease_Master!$W$14</f>
        <v>0.06</v>
      </c>
      <c r="F164" s="6" t="n">
        <f aca="false">D164*((1+E164)^((C164-IF(B164=1,01_Lease_Master!$D$14,C163))/365)-1)</f>
        <v>396.813595872533</v>
      </c>
      <c r="G164" s="1" t="n">
        <f aca="false">IF(C164=01_Lease_Master!$V$14,01_Lease_Master!$U$14,0)</f>
        <v>0</v>
      </c>
      <c r="H164" s="6" t="n">
        <f aca="false">MAX(0,D164+F164-G164)</f>
        <v>80381.299638267</v>
      </c>
      <c r="I164" s="6" t="n">
        <f aca="false">H164*IF(AND(01_Lease_Master!$Y$14&gt;0,01_Lease_Master!$Z$14&gt;0),01_Lease_Master!$Y$14*01_Lease_Master!$Z$14,01_Lease_Master!$X$14)</f>
        <v>803.81299638267</v>
      </c>
      <c r="J164" s="6" t="n">
        <f aca="false">MAX(0,H164-I164)</f>
        <v>79577.4866418843</v>
      </c>
      <c r="K164" s="1" t="s">
        <v>162</v>
      </c>
    </row>
    <row r="165" customFormat="false" ht="15" hidden="false" customHeight="true" outlineLevel="0" collapsed="false">
      <c r="A165" s="1" t="s">
        <v>101</v>
      </c>
      <c r="B165" s="1" t="n">
        <v>4</v>
      </c>
      <c r="C165" s="7" t="n">
        <v>45931</v>
      </c>
      <c r="D165" s="6" t="n">
        <f aca="false">H164</f>
        <v>80381.299638267</v>
      </c>
      <c r="E165" s="6" t="n">
        <f aca="false">01_Lease_Master!$W$14</f>
        <v>0.06</v>
      </c>
      <c r="F165" s="6" t="n">
        <f aca="false">D165*((1+E165)^((C165-IF(B165=1,01_Lease_Master!$D$14,C164))/365)-1)</f>
        <v>385.887469344064</v>
      </c>
      <c r="G165" s="1" t="n">
        <f aca="false">IF(C165=01_Lease_Master!$V$14,01_Lease_Master!$U$14,0)</f>
        <v>0</v>
      </c>
      <c r="H165" s="6" t="n">
        <f aca="false">MAX(0,D165+F165-G165)</f>
        <v>80767.187107611</v>
      </c>
      <c r="I165" s="6" t="n">
        <f aca="false">H165*IF(AND(01_Lease_Master!$Y$14&gt;0,01_Lease_Master!$Z$14&gt;0),01_Lease_Master!$Y$14*01_Lease_Master!$Z$14,01_Lease_Master!$X$14)</f>
        <v>807.67187107611</v>
      </c>
      <c r="J165" s="6" t="n">
        <f aca="false">MAX(0,H165-I165)</f>
        <v>79959.5152365349</v>
      </c>
      <c r="K165" s="1" t="s">
        <v>162</v>
      </c>
    </row>
    <row r="166" customFormat="false" ht="15" hidden="false" customHeight="true" outlineLevel="0" collapsed="false">
      <c r="A166" s="1" t="s">
        <v>101</v>
      </c>
      <c r="B166" s="1" t="n">
        <v>5</v>
      </c>
      <c r="C166" s="7" t="n">
        <v>45962</v>
      </c>
      <c r="D166" s="6" t="n">
        <f aca="false">H165</f>
        <v>80767.187107611</v>
      </c>
      <c r="E166" s="6" t="n">
        <f aca="false">01_Lease_Master!$W$14</f>
        <v>0.06</v>
      </c>
      <c r="F166" s="6" t="n">
        <f aca="false">D166*((1+E166)^((C166-IF(B166=1,01_Lease_Master!$D$14,C165))/365)-1)</f>
        <v>400.696679199683</v>
      </c>
      <c r="G166" s="1" t="n">
        <f aca="false">IF(C166=01_Lease_Master!$V$14,01_Lease_Master!$U$14,0)</f>
        <v>0</v>
      </c>
      <c r="H166" s="6" t="n">
        <f aca="false">MAX(0,D166+F166-G166)</f>
        <v>81167.8837868107</v>
      </c>
      <c r="I166" s="6" t="n">
        <f aca="false">H166*IF(AND(01_Lease_Master!$Y$14&gt;0,01_Lease_Master!$Z$14&gt;0),01_Lease_Master!$Y$14*01_Lease_Master!$Z$14,01_Lease_Master!$X$14)</f>
        <v>811.678837868107</v>
      </c>
      <c r="J166" s="6" t="n">
        <f aca="false">MAX(0,H166-I166)</f>
        <v>80356.2049489426</v>
      </c>
      <c r="K166" s="1" t="s">
        <v>162</v>
      </c>
    </row>
    <row r="167" customFormat="false" ht="15" hidden="false" customHeight="true" outlineLevel="0" collapsed="false">
      <c r="A167" s="1" t="s">
        <v>101</v>
      </c>
      <c r="B167" s="1" t="n">
        <v>6</v>
      </c>
      <c r="C167" s="7" t="n">
        <v>45992</v>
      </c>
      <c r="D167" s="6" t="n">
        <f aca="false">H166</f>
        <v>81167.8837868107</v>
      </c>
      <c r="E167" s="6" t="n">
        <f aca="false">01_Lease_Master!$W$14</f>
        <v>0.06</v>
      </c>
      <c r="F167" s="6" t="n">
        <f aca="false">D167*((1+E167)^((C167-IF(B167=1,01_Lease_Master!$D$14,C166))/365)-1)</f>
        <v>389.663633301025</v>
      </c>
      <c r="G167" s="1" t="n">
        <f aca="false">IF(C167=01_Lease_Master!$V$14,01_Lease_Master!$U$14,0)</f>
        <v>0</v>
      </c>
      <c r="H167" s="6" t="n">
        <f aca="false">MAX(0,D167+F167-G167)</f>
        <v>81557.5474201118</v>
      </c>
      <c r="I167" s="6" t="n">
        <f aca="false">H167*IF(AND(01_Lease_Master!$Y$14&gt;0,01_Lease_Master!$Z$14&gt;0),01_Lease_Master!$Y$14*01_Lease_Master!$Z$14,01_Lease_Master!$X$14)</f>
        <v>815.575474201118</v>
      </c>
      <c r="J167" s="6" t="n">
        <f aca="false">MAX(0,H167-I167)</f>
        <v>80741.9719459106</v>
      </c>
      <c r="K167" s="1" t="s">
        <v>162</v>
      </c>
    </row>
    <row r="168" customFormat="false" ht="15" hidden="false" customHeight="true" outlineLevel="0" collapsed="false">
      <c r="A168" s="1" t="s">
        <v>101</v>
      </c>
      <c r="B168" s="1" t="n">
        <v>7</v>
      </c>
      <c r="C168" s="7" t="n">
        <v>46023</v>
      </c>
      <c r="D168" s="6" t="n">
        <f aca="false">H167</f>
        <v>81557.5474201118</v>
      </c>
      <c r="E168" s="6" t="n">
        <f aca="false">01_Lease_Master!$W$14</f>
        <v>0.06</v>
      </c>
      <c r="F168" s="6" t="n">
        <f aca="false">D168*((1+E168)^((C168-IF(B168=1,01_Lease_Master!$D$14,C167))/365)-1)</f>
        <v>404.617761063885</v>
      </c>
      <c r="G168" s="1" t="n">
        <f aca="false">IF(C168=01_Lease_Master!$V$14,01_Lease_Master!$U$14,0)</f>
        <v>0</v>
      </c>
      <c r="H168" s="6" t="n">
        <f aca="false">MAX(0,D168+F168-G168)</f>
        <v>81962.1651811756</v>
      </c>
      <c r="I168" s="6" t="n">
        <f aca="false">H168*IF(AND(01_Lease_Master!$Y$14&gt;0,01_Lease_Master!$Z$14&gt;0),01_Lease_Master!$Y$14*01_Lease_Master!$Z$14,01_Lease_Master!$X$14)</f>
        <v>819.621651811756</v>
      </c>
      <c r="J168" s="6" t="n">
        <f aca="false">MAX(0,H168-I168)</f>
        <v>81142.5435293639</v>
      </c>
      <c r="K168" s="1" t="s">
        <v>162</v>
      </c>
    </row>
    <row r="169" customFormat="false" ht="15" hidden="false" customHeight="true" outlineLevel="0" collapsed="false">
      <c r="A169" s="1" t="s">
        <v>101</v>
      </c>
      <c r="B169" s="1" t="n">
        <v>8</v>
      </c>
      <c r="C169" s="7" t="n">
        <v>46054</v>
      </c>
      <c r="D169" s="6" t="n">
        <f aca="false">H168</f>
        <v>81962.1651811756</v>
      </c>
      <c r="E169" s="6" t="n">
        <f aca="false">01_Lease_Master!$W$14</f>
        <v>0.06</v>
      </c>
      <c r="F169" s="6" t="n">
        <f aca="false">D169*((1+E169)^((C169-IF(B169=1,01_Lease_Master!$D$14,C168))/365)-1)</f>
        <v>406.625123199544</v>
      </c>
      <c r="G169" s="1" t="n">
        <f aca="false">IF(C169=01_Lease_Master!$V$14,01_Lease_Master!$U$14,0)</f>
        <v>0</v>
      </c>
      <c r="H169" s="6" t="n">
        <f aca="false">MAX(0,D169+F169-G169)</f>
        <v>82368.7903043752</v>
      </c>
      <c r="I169" s="6" t="n">
        <f aca="false">H169*IF(AND(01_Lease_Master!$Y$14&gt;0,01_Lease_Master!$Z$14&gt;0),01_Lease_Master!$Y$14*01_Lease_Master!$Z$14,01_Lease_Master!$X$14)</f>
        <v>823.687903043752</v>
      </c>
      <c r="J169" s="6" t="n">
        <f aca="false">MAX(0,H169-I169)</f>
        <v>81545.1024013314</v>
      </c>
      <c r="K169" s="1" t="s">
        <v>162</v>
      </c>
    </row>
    <row r="170" customFormat="false" ht="15" hidden="false" customHeight="true" outlineLevel="0" collapsed="false">
      <c r="A170" s="1" t="s">
        <v>101</v>
      </c>
      <c r="B170" s="1" t="n">
        <v>9</v>
      </c>
      <c r="C170" s="7" t="n">
        <v>46082</v>
      </c>
      <c r="D170" s="6" t="n">
        <f aca="false">H169</f>
        <v>82368.7903043752</v>
      </c>
      <c r="E170" s="6" t="n">
        <f aca="false">01_Lease_Master!$W$14</f>
        <v>0.06</v>
      </c>
      <c r="F170" s="6" t="n">
        <f aca="false">D170*((1+E170)^((C170-IF(B170=1,01_Lease_Master!$D$14,C169))/365)-1)</f>
        <v>369.007958077688</v>
      </c>
      <c r="G170" s="1" t="n">
        <f aca="false">IF(C170=01_Lease_Master!$V$14,01_Lease_Master!$U$14,0)</f>
        <v>0</v>
      </c>
      <c r="H170" s="6" t="n">
        <f aca="false">MAX(0,D170+F170-G170)</f>
        <v>82737.7982624529</v>
      </c>
      <c r="I170" s="6" t="n">
        <f aca="false">H170*IF(AND(01_Lease_Master!$Y$14&gt;0,01_Lease_Master!$Z$14&gt;0),01_Lease_Master!$Y$14*01_Lease_Master!$Z$14,01_Lease_Master!$X$14)</f>
        <v>827.377982624529</v>
      </c>
      <c r="J170" s="6" t="n">
        <f aca="false">MAX(0,H170-I170)</f>
        <v>81910.4202798283</v>
      </c>
      <c r="K170" s="1" t="s">
        <v>162</v>
      </c>
    </row>
    <row r="171" customFormat="false" ht="15" hidden="false" customHeight="true" outlineLevel="0" collapsed="false">
      <c r="A171" s="1" t="s">
        <v>101</v>
      </c>
      <c r="B171" s="1" t="n">
        <v>10</v>
      </c>
      <c r="C171" s="7" t="n">
        <v>46113</v>
      </c>
      <c r="D171" s="6" t="n">
        <f aca="false">H170</f>
        <v>82737.7982624529</v>
      </c>
      <c r="E171" s="6" t="n">
        <f aca="false">01_Lease_Master!$W$14</f>
        <v>0.06</v>
      </c>
      <c r="F171" s="6" t="n">
        <f aca="false">D171*((1+E171)^((C171-IF(B171=1,01_Lease_Master!$D$14,C170))/365)-1)</f>
        <v>410.473141325161</v>
      </c>
      <c r="G171" s="1" t="n">
        <f aca="false">IF(C171=01_Lease_Master!$V$14,01_Lease_Master!$U$14,0)</f>
        <v>0</v>
      </c>
      <c r="H171" s="6" t="n">
        <f aca="false">MAX(0,D171+F171-G171)</f>
        <v>83148.271403778</v>
      </c>
      <c r="I171" s="6" t="n">
        <f aca="false">H171*IF(AND(01_Lease_Master!$Y$14&gt;0,01_Lease_Master!$Z$14&gt;0),01_Lease_Master!$Y$14*01_Lease_Master!$Z$14,01_Lease_Master!$X$14)</f>
        <v>831.48271403778</v>
      </c>
      <c r="J171" s="6" t="n">
        <f aca="false">MAX(0,H171-I171)</f>
        <v>82316.7886897403</v>
      </c>
      <c r="K171" s="1" t="s">
        <v>162</v>
      </c>
    </row>
    <row r="172" customFormat="false" ht="15" hidden="false" customHeight="true" outlineLevel="0" collapsed="false">
      <c r="A172" s="1" t="s">
        <v>101</v>
      </c>
      <c r="B172" s="1" t="n">
        <v>11</v>
      </c>
      <c r="C172" s="7" t="n">
        <v>46143</v>
      </c>
      <c r="D172" s="6" t="n">
        <f aca="false">H171</f>
        <v>83148.271403778</v>
      </c>
      <c r="E172" s="6" t="n">
        <f aca="false">01_Lease_Master!$W$14</f>
        <v>0.06</v>
      </c>
      <c r="F172" s="6" t="n">
        <f aca="false">D172*((1+E172)^((C172-IF(B172=1,01_Lease_Master!$D$14,C171))/365)-1)</f>
        <v>399.170903888474</v>
      </c>
      <c r="G172" s="1" t="n">
        <f aca="false">IF(C172=01_Lease_Master!$V$14,01_Lease_Master!$U$14,0)</f>
        <v>0</v>
      </c>
      <c r="H172" s="6" t="n">
        <f aca="false">MAX(0,D172+F172-G172)</f>
        <v>83547.4423076665</v>
      </c>
      <c r="I172" s="6" t="n">
        <f aca="false">H172*IF(AND(01_Lease_Master!$Y$14&gt;0,01_Lease_Master!$Z$14&gt;0),01_Lease_Master!$Y$14*01_Lease_Master!$Z$14,01_Lease_Master!$X$14)</f>
        <v>835.474423076665</v>
      </c>
      <c r="J172" s="6" t="n">
        <f aca="false">MAX(0,H172-I172)</f>
        <v>82711.9678845898</v>
      </c>
      <c r="K172" s="1" t="s">
        <v>162</v>
      </c>
    </row>
    <row r="173" customFormat="false" ht="15" hidden="false" customHeight="true" outlineLevel="0" collapsed="false">
      <c r="A173" s="1" t="s">
        <v>101</v>
      </c>
      <c r="B173" s="1" t="n">
        <v>12</v>
      </c>
      <c r="C173" s="7" t="n">
        <v>46174</v>
      </c>
      <c r="D173" s="6" t="n">
        <f aca="false">H172</f>
        <v>83547.4423076665</v>
      </c>
      <c r="E173" s="6" t="n">
        <f aca="false">01_Lease_Master!$W$14</f>
        <v>0.06</v>
      </c>
      <c r="F173" s="6" t="n">
        <f aca="false">D173*((1+E173)^((C173-IF(B173=1,01_Lease_Master!$D$14,C172))/365)-1)</f>
        <v>414.489892333447</v>
      </c>
      <c r="G173" s="1" t="n">
        <f aca="false">IF(C173=01_Lease_Master!$V$14,01_Lease_Master!$U$14,0)</f>
        <v>0</v>
      </c>
      <c r="H173" s="6" t="n">
        <f aca="false">MAX(0,D173+F173-G173)</f>
        <v>83961.9321999999</v>
      </c>
      <c r="I173" s="6" t="n">
        <f aca="false">H173*IF(AND(01_Lease_Master!$Y$14&gt;0,01_Lease_Master!$Z$14&gt;0),01_Lease_Master!$Y$14*01_Lease_Master!$Z$14,01_Lease_Master!$X$14)</f>
        <v>839.619321999999</v>
      </c>
      <c r="J173" s="6" t="n">
        <f aca="false">MAX(0,H173-I173)</f>
        <v>83122.3128779999</v>
      </c>
      <c r="K173" s="1" t="s">
        <v>162</v>
      </c>
    </row>
    <row r="174" customFormat="false" ht="15" hidden="false" customHeight="true" outlineLevel="0" collapsed="false">
      <c r="A174" s="1" t="s">
        <v>101</v>
      </c>
      <c r="B174" s="1" t="n">
        <v>13</v>
      </c>
      <c r="C174" s="7" t="n">
        <v>46204</v>
      </c>
      <c r="D174" s="6" t="n">
        <f aca="false">H173</f>
        <v>83961.9321999999</v>
      </c>
      <c r="E174" s="6" t="n">
        <f aca="false">01_Lease_Master!$W$14</f>
        <v>0.06</v>
      </c>
      <c r="F174" s="6" t="n">
        <f aca="false">D174*((1+E174)^((C174-IF(B174=1,01_Lease_Master!$D$14,C173))/365)-1)</f>
        <v>403.077055032727</v>
      </c>
      <c r="G174" s="1" t="n">
        <f aca="false">IF(C174=01_Lease_Master!$V$14,01_Lease_Master!$U$14,0)</f>
        <v>0</v>
      </c>
      <c r="H174" s="6" t="n">
        <f aca="false">MAX(0,D174+F174-G174)</f>
        <v>84365.0092550327</v>
      </c>
      <c r="I174" s="6" t="n">
        <f aca="false">H174*IF(AND(01_Lease_Master!$Y$14&gt;0,01_Lease_Master!$Z$14&gt;0),01_Lease_Master!$Y$14*01_Lease_Master!$Z$14,01_Lease_Master!$X$14)</f>
        <v>843.650092550327</v>
      </c>
      <c r="J174" s="6" t="n">
        <f aca="false">MAX(0,H174-I174)</f>
        <v>83521.3591624824</v>
      </c>
      <c r="K174" s="1" t="s">
        <v>162</v>
      </c>
    </row>
    <row r="175" customFormat="false" ht="15" hidden="false" customHeight="true" outlineLevel="0" collapsed="false">
      <c r="A175" s="1" t="s">
        <v>101</v>
      </c>
      <c r="B175" s="1" t="n">
        <v>14</v>
      </c>
      <c r="C175" s="7" t="n">
        <v>46235</v>
      </c>
      <c r="D175" s="6" t="n">
        <f aca="false">H174</f>
        <v>84365.0092550327</v>
      </c>
      <c r="E175" s="6" t="n">
        <f aca="false">01_Lease_Master!$W$14</f>
        <v>0.06</v>
      </c>
      <c r="F175" s="6" t="n">
        <f aca="false">D175*((1+E175)^((C175-IF(B175=1,01_Lease_Master!$D$14,C174))/365)-1)</f>
        <v>418.545949905398</v>
      </c>
      <c r="G175" s="1" t="n">
        <f aca="false">IF(C175=01_Lease_Master!$V$14,01_Lease_Master!$U$14,0)</f>
        <v>0</v>
      </c>
      <c r="H175" s="6" t="n">
        <f aca="false">MAX(0,D175+F175-G175)</f>
        <v>84783.5552049381</v>
      </c>
      <c r="I175" s="6" t="n">
        <f aca="false">H175*IF(AND(01_Lease_Master!$Y$14&gt;0,01_Lease_Master!$Z$14&gt;0),01_Lease_Master!$Y$14*01_Lease_Master!$Z$14,01_Lease_Master!$X$14)</f>
        <v>847.835552049381</v>
      </c>
      <c r="J175" s="6" t="n">
        <f aca="false">MAX(0,H175-I175)</f>
        <v>83935.7196528887</v>
      </c>
      <c r="K175" s="1" t="s">
        <v>162</v>
      </c>
    </row>
    <row r="176" customFormat="false" ht="15" hidden="false" customHeight="true" outlineLevel="0" collapsed="false">
      <c r="A176" s="1" t="s">
        <v>101</v>
      </c>
      <c r="B176" s="1" t="n">
        <v>15</v>
      </c>
      <c r="C176" s="7" t="n">
        <v>46266</v>
      </c>
      <c r="D176" s="6" t="n">
        <f aca="false">H175</f>
        <v>84783.5552049381</v>
      </c>
      <c r="E176" s="6" t="n">
        <f aca="false">01_Lease_Master!$W$14</f>
        <v>0.06</v>
      </c>
      <c r="F176" s="6" t="n">
        <f aca="false">D176*((1+E176)^((C176-IF(B176=1,01_Lease_Master!$D$14,C175))/365)-1)</f>
        <v>420.622411624885</v>
      </c>
      <c r="G176" s="1" t="n">
        <f aca="false">IF(C176=01_Lease_Master!$V$14,01_Lease_Master!$U$14,0)</f>
        <v>0</v>
      </c>
      <c r="H176" s="6" t="n">
        <f aca="false">MAX(0,D176+F176-G176)</f>
        <v>85204.177616563</v>
      </c>
      <c r="I176" s="6" t="n">
        <f aca="false">H176*IF(AND(01_Lease_Master!$Y$14&gt;0,01_Lease_Master!$Z$14&gt;0),01_Lease_Master!$Y$14*01_Lease_Master!$Z$14,01_Lease_Master!$X$14)</f>
        <v>852.04177616563</v>
      </c>
      <c r="J176" s="6" t="n">
        <f aca="false">MAX(0,H176-I176)</f>
        <v>84352.1358403973</v>
      </c>
      <c r="K176" s="1" t="s">
        <v>162</v>
      </c>
    </row>
    <row r="177" customFormat="false" ht="15" hidden="false" customHeight="true" outlineLevel="0" collapsed="false">
      <c r="A177" s="1" t="s">
        <v>101</v>
      </c>
      <c r="B177" s="1" t="n">
        <v>16</v>
      </c>
      <c r="C177" s="7" t="n">
        <v>46271</v>
      </c>
      <c r="D177" s="6" t="n">
        <f aca="false">H176</f>
        <v>85204.177616563</v>
      </c>
      <c r="E177" s="6" t="n">
        <f aca="false">01_Lease_Master!$W$14</f>
        <v>0.06</v>
      </c>
      <c r="F177" s="6" t="n">
        <f aca="false">D177*((1+E177)^((C177-IF(B177=1,01_Lease_Master!$D$14,C176))/365)-1)</f>
        <v>68.0374845011041</v>
      </c>
      <c r="G177" s="1" t="n">
        <f aca="false">IF(C177=01_Lease_Master!$V$14,01_Lease_Master!$U$14,0)</f>
        <v>0</v>
      </c>
      <c r="H177" s="6" t="n">
        <f aca="false">MAX(0,D177+F177-G177)</f>
        <v>85272.2151010641</v>
      </c>
      <c r="I177" s="6" t="n">
        <f aca="false">H177*IF(AND(01_Lease_Master!$Y$14&gt;0,01_Lease_Master!$Z$14&gt;0),01_Lease_Master!$Y$14*01_Lease_Master!$Z$14,01_Lease_Master!$X$14)</f>
        <v>852.722151010641</v>
      </c>
      <c r="J177" s="6" t="n">
        <f aca="false">MAX(0,H177-I177)</f>
        <v>84419.4929500534</v>
      </c>
      <c r="K177" s="1" t="s">
        <v>162</v>
      </c>
    </row>
    <row r="178" customFormat="false" ht="15" hidden="false" customHeight="true" outlineLevel="0" collapsed="false">
      <c r="A178" s="1" t="s">
        <v>104</v>
      </c>
      <c r="B178" s="1" t="n">
        <v>1</v>
      </c>
      <c r="C178" s="7" t="n">
        <v>45413</v>
      </c>
      <c r="D178" s="6" t="n">
        <f aca="false">IF(01_Lease_Master!$D$15&gt;$B$3,0,ROUND(01_Lease_Master!$U$15-03_Initial_Recognition!$H$15,2))</f>
        <v>149451.63</v>
      </c>
      <c r="E178" s="6" t="n">
        <f aca="false">01_Lease_Master!$W$15</f>
        <v>0.06</v>
      </c>
      <c r="F178" s="6" t="n">
        <f aca="false">D178*((1+E178)^((C178-IF(B178=1,01_Lease_Master!$D$15,C177))/365)-1)</f>
        <v>717.474232807625</v>
      </c>
      <c r="G178" s="1" t="n">
        <f aca="false">IF(C178=01_Lease_Master!$V$15,01_Lease_Master!$U$15,0)</f>
        <v>0</v>
      </c>
      <c r="H178" s="6" t="n">
        <f aca="false">MAX(0,D178+F178-G178)</f>
        <v>150169.104232808</v>
      </c>
      <c r="I178" s="6" t="n">
        <f aca="false">H178*IF(AND(01_Lease_Master!$Y$15&gt;0,01_Lease_Master!$Z$15&gt;0),01_Lease_Master!$Y$15*01_Lease_Master!$Z$15,01_Lease_Master!$X$15)</f>
        <v>1351.52193809527</v>
      </c>
      <c r="J178" s="6" t="n">
        <f aca="false">MAX(0,H178-I178)</f>
        <v>148817.582294712</v>
      </c>
      <c r="K178" s="1" t="s">
        <v>162</v>
      </c>
    </row>
    <row r="179" customFormat="false" ht="15" hidden="false" customHeight="true" outlineLevel="0" collapsed="false">
      <c r="A179" s="1" t="s">
        <v>104</v>
      </c>
      <c r="B179" s="1" t="n">
        <v>2</v>
      </c>
      <c r="C179" s="7" t="n">
        <v>45444</v>
      </c>
      <c r="D179" s="6" t="n">
        <f aca="false">H178</f>
        <v>150169.104232808</v>
      </c>
      <c r="E179" s="6" t="n">
        <f aca="false">01_Lease_Master!$W$15</f>
        <v>0.06</v>
      </c>
      <c r="F179" s="6" t="n">
        <f aca="false">D179*((1+E179)^((C179-IF(B179=1,01_Lease_Master!$D$15,C178))/365)-1)</f>
        <v>745.008753422425</v>
      </c>
      <c r="G179" s="1" t="n">
        <f aca="false">IF(C179=01_Lease_Master!$V$15,01_Lease_Master!$U$15,0)</f>
        <v>0</v>
      </c>
      <c r="H179" s="6" t="n">
        <f aca="false">MAX(0,D179+F179-G179)</f>
        <v>150914.11298623</v>
      </c>
      <c r="I179" s="6" t="n">
        <f aca="false">H179*IF(AND(01_Lease_Master!$Y$15&gt;0,01_Lease_Master!$Z$15&gt;0),01_Lease_Master!$Y$15*01_Lease_Master!$Z$15,01_Lease_Master!$X$15)</f>
        <v>1358.22701687607</v>
      </c>
      <c r="J179" s="6" t="n">
        <f aca="false">MAX(0,H179-I179)</f>
        <v>149555.885969354</v>
      </c>
      <c r="K179" s="1" t="s">
        <v>162</v>
      </c>
    </row>
    <row r="180" customFormat="false" ht="15" hidden="false" customHeight="true" outlineLevel="0" collapsed="false">
      <c r="A180" s="1" t="s">
        <v>104</v>
      </c>
      <c r="B180" s="1" t="n">
        <v>3</v>
      </c>
      <c r="C180" s="7" t="n">
        <v>45474</v>
      </c>
      <c r="D180" s="6" t="n">
        <f aca="false">H179</f>
        <v>150914.11298623</v>
      </c>
      <c r="E180" s="6" t="n">
        <f aca="false">01_Lease_Master!$W$15</f>
        <v>0.06</v>
      </c>
      <c r="F180" s="6" t="n">
        <f aca="false">D180*((1+E180)^((C180-IF(B180=1,01_Lease_Master!$D$15,C179))/365)-1)</f>
        <v>724.495192422047</v>
      </c>
      <c r="G180" s="1" t="n">
        <f aca="false">IF(C180=01_Lease_Master!$V$15,01_Lease_Master!$U$15,0)</f>
        <v>0</v>
      </c>
      <c r="H180" s="6" t="n">
        <f aca="false">MAX(0,D180+F180-G180)</f>
        <v>151638.608178652</v>
      </c>
      <c r="I180" s="6" t="n">
        <f aca="false">H180*IF(AND(01_Lease_Master!$Y$15&gt;0,01_Lease_Master!$Z$15&gt;0),01_Lease_Master!$Y$15*01_Lease_Master!$Z$15,01_Lease_Master!$X$15)</f>
        <v>1364.74747360787</v>
      </c>
      <c r="J180" s="6" t="n">
        <f aca="false">MAX(0,H180-I180)</f>
        <v>150273.860705044</v>
      </c>
      <c r="K180" s="1" t="s">
        <v>162</v>
      </c>
    </row>
    <row r="181" customFormat="false" ht="15" hidden="false" customHeight="true" outlineLevel="0" collapsed="false">
      <c r="A181" s="1" t="s">
        <v>104</v>
      </c>
      <c r="B181" s="1" t="n">
        <v>4</v>
      </c>
      <c r="C181" s="7" t="n">
        <v>45505</v>
      </c>
      <c r="D181" s="6" t="n">
        <f aca="false">H180</f>
        <v>151638.608178652</v>
      </c>
      <c r="E181" s="6" t="n">
        <f aca="false">01_Lease_Master!$W$15</f>
        <v>0.06</v>
      </c>
      <c r="F181" s="6" t="n">
        <f aca="false">D181*((1+E181)^((C181-IF(B181=1,01_Lease_Master!$D$15,C180))/365)-1)</f>
        <v>752.299156521225</v>
      </c>
      <c r="G181" s="1" t="n">
        <f aca="false">IF(C181=01_Lease_Master!$V$15,01_Lease_Master!$U$15,0)</f>
        <v>0</v>
      </c>
      <c r="H181" s="6" t="n">
        <f aca="false">MAX(0,D181+F181-G181)</f>
        <v>152390.907335173</v>
      </c>
      <c r="I181" s="6" t="n">
        <f aca="false">H181*IF(AND(01_Lease_Master!$Y$15&gt;0,01_Lease_Master!$Z$15&gt;0),01_Lease_Master!$Y$15*01_Lease_Master!$Z$15,01_Lease_Master!$X$15)</f>
        <v>1371.51816601656</v>
      </c>
      <c r="J181" s="6" t="n">
        <f aca="false">MAX(0,H181-I181)</f>
        <v>151019.389169157</v>
      </c>
      <c r="K181" s="1" t="s">
        <v>162</v>
      </c>
    </row>
    <row r="182" customFormat="false" ht="15" hidden="false" customHeight="true" outlineLevel="0" collapsed="false">
      <c r="A182" s="1" t="s">
        <v>104</v>
      </c>
      <c r="B182" s="1" t="n">
        <v>5</v>
      </c>
      <c r="C182" s="7" t="n">
        <v>45536</v>
      </c>
      <c r="D182" s="6" t="n">
        <f aca="false">H181</f>
        <v>152390.907335173</v>
      </c>
      <c r="E182" s="6" t="n">
        <f aca="false">01_Lease_Master!$W$15</f>
        <v>0.06</v>
      </c>
      <c r="F182" s="6" t="n">
        <f aca="false">D182*((1+E182)^((C182-IF(B182=1,01_Lease_Master!$D$15,C181))/365)-1)</f>
        <v>756.031411965273</v>
      </c>
      <c r="G182" s="1" t="n">
        <f aca="false">IF(C182=01_Lease_Master!$V$15,01_Lease_Master!$U$15,0)</f>
        <v>0</v>
      </c>
      <c r="H182" s="6" t="n">
        <f aca="false">MAX(0,D182+F182-G182)</f>
        <v>153146.938747139</v>
      </c>
      <c r="I182" s="6" t="n">
        <f aca="false">H182*IF(AND(01_Lease_Master!$Y$15&gt;0,01_Lease_Master!$Z$15&gt;0),01_Lease_Master!$Y$15*01_Lease_Master!$Z$15,01_Lease_Master!$X$15)</f>
        <v>1378.32244872425</v>
      </c>
      <c r="J182" s="6" t="n">
        <f aca="false">MAX(0,H182-I182)</f>
        <v>151768.616298414</v>
      </c>
      <c r="K182" s="1" t="s">
        <v>162</v>
      </c>
    </row>
    <row r="183" customFormat="false" ht="15" hidden="false" customHeight="true" outlineLevel="0" collapsed="false">
      <c r="A183" s="1" t="s">
        <v>104</v>
      </c>
      <c r="B183" s="1" t="n">
        <v>6</v>
      </c>
      <c r="C183" s="7" t="n">
        <v>45566</v>
      </c>
      <c r="D183" s="6" t="n">
        <f aca="false">H182</f>
        <v>153146.938747139</v>
      </c>
      <c r="E183" s="6" t="n">
        <f aca="false">01_Lease_Master!$W$15</f>
        <v>0.06</v>
      </c>
      <c r="F183" s="6" t="n">
        <f aca="false">D183*((1+E183)^((C183-IF(B183=1,01_Lease_Master!$D$15,C182))/365)-1)</f>
        <v>735.214345835101</v>
      </c>
      <c r="G183" s="1" t="n">
        <f aca="false">IF(C183=01_Lease_Master!$V$15,01_Lease_Master!$U$15,0)</f>
        <v>0</v>
      </c>
      <c r="H183" s="6" t="n">
        <f aca="false">MAX(0,D183+F183-G183)</f>
        <v>153882.153092974</v>
      </c>
      <c r="I183" s="6" t="n">
        <f aca="false">H183*IF(AND(01_Lease_Master!$Y$15&gt;0,01_Lease_Master!$Z$15&gt;0),01_Lease_Master!$Y$15*01_Lease_Master!$Z$15,01_Lease_Master!$X$15)</f>
        <v>1384.93937783676</v>
      </c>
      <c r="J183" s="6" t="n">
        <f aca="false">MAX(0,H183-I183)</f>
        <v>152497.213715137</v>
      </c>
      <c r="K183" s="1" t="s">
        <v>162</v>
      </c>
    </row>
    <row r="184" customFormat="false" ht="15" hidden="false" customHeight="true" outlineLevel="0" collapsed="false">
      <c r="A184" s="1" t="s">
        <v>104</v>
      </c>
      <c r="B184" s="1" t="n">
        <v>7</v>
      </c>
      <c r="C184" s="7" t="n">
        <v>45597</v>
      </c>
      <c r="D184" s="6" t="n">
        <f aca="false">H183</f>
        <v>153882.153092974</v>
      </c>
      <c r="E184" s="6" t="n">
        <f aca="false">01_Lease_Master!$W$15</f>
        <v>0.06</v>
      </c>
      <c r="F184" s="6" t="n">
        <f aca="false">D184*((1+E184)^((C184-IF(B184=1,01_Lease_Master!$D$15,C183))/365)-1)</f>
        <v>763.42967906383</v>
      </c>
      <c r="G184" s="1" t="n">
        <f aca="false">IF(C184=01_Lease_Master!$V$15,01_Lease_Master!$U$15,0)</f>
        <v>0</v>
      </c>
      <c r="H184" s="6" t="n">
        <f aca="false">MAX(0,D184+F184-G184)</f>
        <v>154645.582772037</v>
      </c>
      <c r="I184" s="6" t="n">
        <f aca="false">H184*IF(AND(01_Lease_Master!$Y$15&gt;0,01_Lease_Master!$Z$15&gt;0),01_Lease_Master!$Y$15*01_Lease_Master!$Z$15,01_Lease_Master!$X$15)</f>
        <v>1391.81024494834</v>
      </c>
      <c r="J184" s="6" t="n">
        <f aca="false">MAX(0,H184-I184)</f>
        <v>153253.772527089</v>
      </c>
      <c r="K184" s="1" t="s">
        <v>162</v>
      </c>
    </row>
    <row r="185" customFormat="false" ht="15" hidden="false" customHeight="true" outlineLevel="0" collapsed="false">
      <c r="A185" s="1" t="s">
        <v>104</v>
      </c>
      <c r="B185" s="1" t="n">
        <v>8</v>
      </c>
      <c r="C185" s="7" t="n">
        <v>45627</v>
      </c>
      <c r="D185" s="6" t="n">
        <f aca="false">H184</f>
        <v>154645.582772037</v>
      </c>
      <c r="E185" s="6" t="n">
        <f aca="false">01_Lease_Master!$W$15</f>
        <v>0.06</v>
      </c>
      <c r="F185" s="6" t="n">
        <f aca="false">D185*((1+E185)^((C185-IF(B185=1,01_Lease_Master!$D$15,C184))/365)-1)</f>
        <v>742.408904181611</v>
      </c>
      <c r="G185" s="1" t="n">
        <f aca="false">IF(C185=01_Lease_Master!$V$15,01_Lease_Master!$U$15,0)</f>
        <v>0</v>
      </c>
      <c r="H185" s="6" t="n">
        <f aca="false">MAX(0,D185+F185-G185)</f>
        <v>155387.991676219</v>
      </c>
      <c r="I185" s="6" t="n">
        <f aca="false">H185*IF(AND(01_Lease_Master!$Y$15&gt;0,01_Lease_Master!$Z$15&gt;0),01_Lease_Master!$Y$15*01_Lease_Master!$Z$15,01_Lease_Master!$X$15)</f>
        <v>1398.49192508597</v>
      </c>
      <c r="J185" s="6" t="n">
        <f aca="false">MAX(0,H185-I185)</f>
        <v>153989.499751133</v>
      </c>
      <c r="K185" s="1" t="s">
        <v>162</v>
      </c>
    </row>
    <row r="186" customFormat="false" ht="15" hidden="false" customHeight="true" outlineLevel="0" collapsed="false">
      <c r="A186" s="1" t="s">
        <v>104</v>
      </c>
      <c r="B186" s="1" t="n">
        <v>9</v>
      </c>
      <c r="C186" s="7" t="n">
        <v>45658</v>
      </c>
      <c r="D186" s="6" t="n">
        <f aca="false">H185</f>
        <v>155387.991676219</v>
      </c>
      <c r="E186" s="6" t="n">
        <f aca="false">01_Lease_Master!$W$15</f>
        <v>0.06</v>
      </c>
      <c r="F186" s="6" t="n">
        <f aca="false">D186*((1+E186)^((C186-IF(B186=1,01_Lease_Master!$D$15,C185))/365)-1)</f>
        <v>770.900343096158</v>
      </c>
      <c r="G186" s="1" t="n">
        <f aca="false">IF(C186=01_Lease_Master!$V$15,01_Lease_Master!$U$15,0)</f>
        <v>0</v>
      </c>
      <c r="H186" s="6" t="n">
        <f aca="false">MAX(0,D186+F186-G186)</f>
        <v>156158.892019315</v>
      </c>
      <c r="I186" s="6" t="n">
        <f aca="false">H186*IF(AND(01_Lease_Master!$Y$15&gt;0,01_Lease_Master!$Z$15&gt;0),01_Lease_Master!$Y$15*01_Lease_Master!$Z$15,01_Lease_Master!$X$15)</f>
        <v>1405.43002817384</v>
      </c>
      <c r="J186" s="6" t="n">
        <f aca="false">MAX(0,H186-I186)</f>
        <v>154753.461991141</v>
      </c>
      <c r="K186" s="1" t="s">
        <v>162</v>
      </c>
    </row>
    <row r="187" customFormat="false" ht="15" hidden="false" customHeight="true" outlineLevel="0" collapsed="false">
      <c r="A187" s="1" t="s">
        <v>104</v>
      </c>
      <c r="B187" s="1" t="n">
        <v>10</v>
      </c>
      <c r="C187" s="7" t="n">
        <v>45689</v>
      </c>
      <c r="D187" s="6" t="n">
        <f aca="false">H186</f>
        <v>156158.892019315</v>
      </c>
      <c r="E187" s="6" t="n">
        <f aca="false">01_Lease_Master!$W$15</f>
        <v>0.06</v>
      </c>
      <c r="F187" s="6" t="n">
        <f aca="false">D187*((1+E187)^((C187-IF(B187=1,01_Lease_Master!$D$15,C186))/365)-1)</f>
        <v>774.72488148278</v>
      </c>
      <c r="G187" s="1" t="n">
        <f aca="false">IF(C187=01_Lease_Master!$V$15,01_Lease_Master!$U$15,0)</f>
        <v>0</v>
      </c>
      <c r="H187" s="6" t="n">
        <f aca="false">MAX(0,D187+F187-G187)</f>
        <v>156933.616900798</v>
      </c>
      <c r="I187" s="6" t="n">
        <f aca="false">H187*IF(AND(01_Lease_Master!$Y$15&gt;0,01_Lease_Master!$Z$15&gt;0),01_Lease_Master!$Y$15*01_Lease_Master!$Z$15,01_Lease_Master!$X$15)</f>
        <v>1412.40255210718</v>
      </c>
      <c r="J187" s="6" t="n">
        <f aca="false">MAX(0,H187-I187)</f>
        <v>155521.214348691</v>
      </c>
      <c r="K187" s="1" t="s">
        <v>162</v>
      </c>
    </row>
    <row r="188" customFormat="false" ht="15" hidden="false" customHeight="true" outlineLevel="0" collapsed="false">
      <c r="A188" s="1" t="s">
        <v>104</v>
      </c>
      <c r="B188" s="1" t="n">
        <v>11</v>
      </c>
      <c r="C188" s="7" t="n">
        <v>45717</v>
      </c>
      <c r="D188" s="6" t="n">
        <f aca="false">H187</f>
        <v>156933.616900798</v>
      </c>
      <c r="E188" s="6" t="n">
        <f aca="false">01_Lease_Master!$W$15</f>
        <v>0.06</v>
      </c>
      <c r="F188" s="6" t="n">
        <f aca="false">D188*((1+E188)^((C188-IF(B188=1,01_Lease_Master!$D$15,C187))/365)-1)</f>
        <v>703.054558799725</v>
      </c>
      <c r="G188" s="1" t="n">
        <f aca="false">IF(C188=01_Lease_Master!$V$15,01_Lease_Master!$U$15,0)</f>
        <v>0</v>
      </c>
      <c r="H188" s="6" t="n">
        <f aca="false">MAX(0,D188+F188-G188)</f>
        <v>157636.671459598</v>
      </c>
      <c r="I188" s="6" t="n">
        <f aca="false">H188*IF(AND(01_Lease_Master!$Y$15&gt;0,01_Lease_Master!$Z$15&gt;0),01_Lease_Master!$Y$15*01_Lease_Master!$Z$15,01_Lease_Master!$X$15)</f>
        <v>1418.73004313638</v>
      </c>
      <c r="J188" s="6" t="n">
        <f aca="false">MAX(0,H188-I188)</f>
        <v>156217.941416461</v>
      </c>
      <c r="K188" s="1" t="s">
        <v>162</v>
      </c>
    </row>
    <row r="189" customFormat="false" ht="15" hidden="false" customHeight="true" outlineLevel="0" collapsed="false">
      <c r="A189" s="1" t="s">
        <v>104</v>
      </c>
      <c r="B189" s="1" t="n">
        <v>12</v>
      </c>
      <c r="C189" s="7" t="n">
        <v>45748</v>
      </c>
      <c r="D189" s="6" t="n">
        <f aca="false">H188</f>
        <v>157636.671459598</v>
      </c>
      <c r="E189" s="6" t="n">
        <f aca="false">01_Lease_Master!$W$15</f>
        <v>0.06</v>
      </c>
      <c r="F189" s="6" t="n">
        <f aca="false">D189*((1+E189)^((C189-IF(B189=1,01_Lease_Master!$D$15,C188))/365)-1)</f>
        <v>782.056340402128</v>
      </c>
      <c r="G189" s="1" t="n">
        <f aca="false">IF(C189=01_Lease_Master!$V$15,01_Lease_Master!$U$15,0)</f>
        <v>0</v>
      </c>
      <c r="H189" s="6" t="n">
        <f aca="false">MAX(0,D189+F189-G189)</f>
        <v>158418.7278</v>
      </c>
      <c r="I189" s="6" t="n">
        <f aca="false">H189*IF(AND(01_Lease_Master!$Y$15&gt;0,01_Lease_Master!$Z$15&gt;0),01_Lease_Master!$Y$15*01_Lease_Master!$Z$15,01_Lease_Master!$X$15)</f>
        <v>1425.7685502</v>
      </c>
      <c r="J189" s="6" t="n">
        <f aca="false">MAX(0,H189-I189)</f>
        <v>156992.9592498</v>
      </c>
      <c r="K189" s="1" t="s">
        <v>162</v>
      </c>
    </row>
    <row r="190" customFormat="false" ht="15" hidden="false" customHeight="true" outlineLevel="0" collapsed="false">
      <c r="A190" s="1" t="s">
        <v>104</v>
      </c>
      <c r="B190" s="1" t="n">
        <v>13</v>
      </c>
      <c r="C190" s="7" t="n">
        <v>45778</v>
      </c>
      <c r="D190" s="6" t="n">
        <f aca="false">H189</f>
        <v>158418.7278</v>
      </c>
      <c r="E190" s="6" t="n">
        <f aca="false">01_Lease_Master!$W$15</f>
        <v>0.06</v>
      </c>
      <c r="F190" s="6" t="n">
        <f aca="false">D190*((1+E190)^((C190-IF(B190=1,01_Lease_Master!$D$15,C189))/365)-1)</f>
        <v>760.522686776082</v>
      </c>
      <c r="G190" s="1" t="n">
        <f aca="false">IF(C190=01_Lease_Master!$V$15,01_Lease_Master!$U$15,0)</f>
        <v>0</v>
      </c>
      <c r="H190" s="6" t="n">
        <f aca="false">MAX(0,D190+F190-G190)</f>
        <v>159179.250486776</v>
      </c>
      <c r="I190" s="6" t="n">
        <f aca="false">H190*IF(AND(01_Lease_Master!$Y$15&gt;0,01_Lease_Master!$Z$15&gt;0),01_Lease_Master!$Y$15*01_Lease_Master!$Z$15,01_Lease_Master!$X$15)</f>
        <v>1432.61325438098</v>
      </c>
      <c r="J190" s="6" t="n">
        <f aca="false">MAX(0,H190-I190)</f>
        <v>157746.637232395</v>
      </c>
      <c r="K190" s="1" t="s">
        <v>162</v>
      </c>
    </row>
    <row r="191" customFormat="false" ht="15" hidden="false" customHeight="true" outlineLevel="0" collapsed="false">
      <c r="A191" s="1" t="s">
        <v>104</v>
      </c>
      <c r="B191" s="1" t="n">
        <v>14</v>
      </c>
      <c r="C191" s="7" t="n">
        <v>45809</v>
      </c>
      <c r="D191" s="6" t="n">
        <f aca="false">H190</f>
        <v>159179.250486776</v>
      </c>
      <c r="E191" s="6" t="n">
        <f aca="false">01_Lease_Master!$W$15</f>
        <v>0.06</v>
      </c>
      <c r="F191" s="6" t="n">
        <f aca="false">D191*((1+E191)^((C191-IF(B191=1,01_Lease_Master!$D$15,C190))/365)-1)</f>
        <v>789.70927862777</v>
      </c>
      <c r="G191" s="1" t="n">
        <f aca="false">IF(C191=01_Lease_Master!$V$15,01_Lease_Master!$U$15,0)</f>
        <v>0</v>
      </c>
      <c r="H191" s="6" t="n">
        <f aca="false">MAX(0,D191+F191-G191)</f>
        <v>159968.959765404</v>
      </c>
      <c r="I191" s="6" t="n">
        <f aca="false">H191*IF(AND(01_Lease_Master!$Y$15&gt;0,01_Lease_Master!$Z$15&gt;0),01_Lease_Master!$Y$15*01_Lease_Master!$Z$15,01_Lease_Master!$X$15)</f>
        <v>1439.72063788863</v>
      </c>
      <c r="J191" s="6" t="n">
        <f aca="false">MAX(0,H191-I191)</f>
        <v>158529.239127515</v>
      </c>
      <c r="K191" s="1" t="s">
        <v>162</v>
      </c>
    </row>
    <row r="192" customFormat="false" ht="15" hidden="false" customHeight="true" outlineLevel="0" collapsed="false">
      <c r="A192" s="1" t="s">
        <v>104</v>
      </c>
      <c r="B192" s="1" t="n">
        <v>15</v>
      </c>
      <c r="C192" s="7" t="n">
        <v>45839</v>
      </c>
      <c r="D192" s="6" t="n">
        <f aca="false">H191</f>
        <v>159968.959765404</v>
      </c>
      <c r="E192" s="6" t="n">
        <f aca="false">01_Lease_Master!$W$15</f>
        <v>0.06</v>
      </c>
      <c r="F192" s="6" t="n">
        <f aca="false">D192*((1+E192)^((C192-IF(B192=1,01_Lease_Master!$D$15,C191))/365)-1)</f>
        <v>767.96490396737</v>
      </c>
      <c r="G192" s="1" t="n">
        <f aca="false">IF(C192=01_Lease_Master!$V$15,01_Lease_Master!$U$15,0)</f>
        <v>0</v>
      </c>
      <c r="H192" s="6" t="n">
        <f aca="false">MAX(0,D192+F192-G192)</f>
        <v>160736.924669371</v>
      </c>
      <c r="I192" s="6" t="n">
        <f aca="false">H192*IF(AND(01_Lease_Master!$Y$15&gt;0,01_Lease_Master!$Z$15&gt;0),01_Lease_Master!$Y$15*01_Lease_Master!$Z$15,01_Lease_Master!$X$15)</f>
        <v>1446.63232202434</v>
      </c>
      <c r="J192" s="6" t="n">
        <f aca="false">MAX(0,H192-I192)</f>
        <v>159290.292347347</v>
      </c>
      <c r="K192" s="1" t="s">
        <v>162</v>
      </c>
    </row>
    <row r="193" customFormat="false" ht="15" hidden="false" customHeight="true" outlineLevel="0" collapsed="false">
      <c r="A193" s="1" t="s">
        <v>104</v>
      </c>
      <c r="B193" s="1" t="n">
        <v>16</v>
      </c>
      <c r="C193" s="7" t="n">
        <v>45870</v>
      </c>
      <c r="D193" s="6" t="n">
        <f aca="false">H192</f>
        <v>160736.924669371</v>
      </c>
      <c r="E193" s="6" t="n">
        <f aca="false">01_Lease_Master!$W$15</f>
        <v>0.06</v>
      </c>
      <c r="F193" s="6" t="n">
        <f aca="false">D193*((1+E193)^((C193-IF(B193=1,01_Lease_Master!$D$15,C192))/365)-1)</f>
        <v>797.437105912498</v>
      </c>
      <c r="G193" s="1" t="n">
        <f aca="false">IF(C193=01_Lease_Master!$V$15,01_Lease_Master!$U$15,0)</f>
        <v>0</v>
      </c>
      <c r="H193" s="6" t="n">
        <f aca="false">MAX(0,D193+F193-G193)</f>
        <v>161534.361775284</v>
      </c>
      <c r="I193" s="6" t="n">
        <f aca="false">H193*IF(AND(01_Lease_Master!$Y$15&gt;0,01_Lease_Master!$Z$15&gt;0),01_Lease_Master!$Y$15*01_Lease_Master!$Z$15,01_Lease_Master!$X$15)</f>
        <v>1453.80925597755</v>
      </c>
      <c r="J193" s="6" t="n">
        <f aca="false">MAX(0,H193-I193)</f>
        <v>160080.552519306</v>
      </c>
      <c r="K193" s="1" t="s">
        <v>162</v>
      </c>
    </row>
    <row r="194" customFormat="false" ht="15" hidden="false" customHeight="true" outlineLevel="0" collapsed="false">
      <c r="A194" s="1" t="s">
        <v>104</v>
      </c>
      <c r="B194" s="1" t="n">
        <v>17</v>
      </c>
      <c r="C194" s="7" t="n">
        <v>45901</v>
      </c>
      <c r="D194" s="6" t="n">
        <f aca="false">H193</f>
        <v>161534.361775284</v>
      </c>
      <c r="E194" s="6" t="n">
        <f aca="false">01_Lease_Master!$W$15</f>
        <v>0.06</v>
      </c>
      <c r="F194" s="6" t="n">
        <f aca="false">D194*((1+E194)^((C194-IF(B194=1,01_Lease_Master!$D$15,C193))/365)-1)</f>
        <v>801.393296683189</v>
      </c>
      <c r="G194" s="1" t="n">
        <f aca="false">IF(C194=01_Lease_Master!$V$15,01_Lease_Master!$U$15,0)</f>
        <v>0</v>
      </c>
      <c r="H194" s="6" t="n">
        <f aca="false">MAX(0,D194+F194-G194)</f>
        <v>162335.755071967</v>
      </c>
      <c r="I194" s="6" t="n">
        <f aca="false">H194*IF(AND(01_Lease_Master!$Y$15&gt;0,01_Lease_Master!$Z$15&gt;0),01_Lease_Master!$Y$15*01_Lease_Master!$Z$15,01_Lease_Master!$X$15)</f>
        <v>1461.0217956477</v>
      </c>
      <c r="J194" s="6" t="n">
        <f aca="false">MAX(0,H194-I194)</f>
        <v>160874.733276319</v>
      </c>
      <c r="K194" s="1" t="s">
        <v>162</v>
      </c>
    </row>
    <row r="195" customFormat="false" ht="15" hidden="false" customHeight="true" outlineLevel="0" collapsed="false">
      <c r="A195" s="1" t="s">
        <v>104</v>
      </c>
      <c r="B195" s="1" t="n">
        <v>18</v>
      </c>
      <c r="C195" s="7" t="n">
        <v>45931</v>
      </c>
      <c r="D195" s="6" t="n">
        <f aca="false">H194</f>
        <v>162335.755071967</v>
      </c>
      <c r="E195" s="6" t="n">
        <f aca="false">01_Lease_Master!$W$15</f>
        <v>0.06</v>
      </c>
      <c r="F195" s="6" t="n">
        <f aca="false">D195*((1+E195)^((C195-IF(B195=1,01_Lease_Master!$D$15,C194))/365)-1)</f>
        <v>779.327206585207</v>
      </c>
      <c r="G195" s="1" t="n">
        <f aca="false">IF(C195=01_Lease_Master!$V$15,01_Lease_Master!$U$15,0)</f>
        <v>0</v>
      </c>
      <c r="H195" s="6" t="n">
        <f aca="false">MAX(0,D195+F195-G195)</f>
        <v>163115.082278552</v>
      </c>
      <c r="I195" s="6" t="n">
        <f aca="false">H195*IF(AND(01_Lease_Master!$Y$15&gt;0,01_Lease_Master!$Z$15&gt;0),01_Lease_Master!$Y$15*01_Lease_Master!$Z$15,01_Lease_Master!$X$15)</f>
        <v>1468.03574050697</v>
      </c>
      <c r="J195" s="6" t="n">
        <f aca="false">MAX(0,H195-I195)</f>
        <v>161647.046538045</v>
      </c>
      <c r="K195" s="1" t="s">
        <v>162</v>
      </c>
    </row>
    <row r="196" customFormat="false" ht="15" hidden="false" customHeight="true" outlineLevel="0" collapsed="false">
      <c r="A196" s="1" t="s">
        <v>104</v>
      </c>
      <c r="B196" s="1" t="n">
        <v>19</v>
      </c>
      <c r="C196" s="7" t="n">
        <v>45962</v>
      </c>
      <c r="D196" s="6" t="n">
        <f aca="false">H195</f>
        <v>163115.082278552</v>
      </c>
      <c r="E196" s="6" t="n">
        <f aca="false">01_Lease_Master!$W$15</f>
        <v>0.06</v>
      </c>
      <c r="F196" s="6" t="n">
        <f aca="false">D196*((1+E196)^((C196-IF(B196=1,01_Lease_Master!$D$15,C195))/365)-1)</f>
        <v>809.235459807659</v>
      </c>
      <c r="G196" s="1" t="n">
        <f aca="false">IF(C196=01_Lease_Master!$V$15,01_Lease_Master!$U$15,0)</f>
        <v>0</v>
      </c>
      <c r="H196" s="6" t="n">
        <f aca="false">MAX(0,D196+F196-G196)</f>
        <v>163924.31773836</v>
      </c>
      <c r="I196" s="6" t="n">
        <f aca="false">H196*IF(AND(01_Lease_Master!$Y$15&gt;0,01_Lease_Master!$Z$15&gt;0),01_Lease_Master!$Y$15*01_Lease_Master!$Z$15,01_Lease_Master!$X$15)</f>
        <v>1475.31885964524</v>
      </c>
      <c r="J196" s="6" t="n">
        <f aca="false">MAX(0,H196-I196)</f>
        <v>162448.998878714</v>
      </c>
      <c r="K196" s="1" t="s">
        <v>162</v>
      </c>
    </row>
    <row r="197" customFormat="false" ht="15" hidden="false" customHeight="true" outlineLevel="0" collapsed="false">
      <c r="A197" s="1" t="s">
        <v>104</v>
      </c>
      <c r="B197" s="1" t="n">
        <v>20</v>
      </c>
      <c r="C197" s="7" t="n">
        <v>45992</v>
      </c>
      <c r="D197" s="6" t="n">
        <f aca="false">H196</f>
        <v>163924.31773836</v>
      </c>
      <c r="E197" s="6" t="n">
        <f aca="false">01_Lease_Master!$W$15</f>
        <v>0.06</v>
      </c>
      <c r="F197" s="6" t="n">
        <f aca="false">D197*((1+E197)^((C197-IF(B197=1,01_Lease_Master!$D$15,C196))/365)-1)</f>
        <v>786.953438432508</v>
      </c>
      <c r="G197" s="1" t="n">
        <f aca="false">IF(C197=01_Lease_Master!$V$15,01_Lease_Master!$U$15,0)</f>
        <v>0</v>
      </c>
      <c r="H197" s="6" t="n">
        <f aca="false">MAX(0,D197+F197-G197)</f>
        <v>164711.271176792</v>
      </c>
      <c r="I197" s="6" t="n">
        <f aca="false">H197*IF(AND(01_Lease_Master!$Y$15&gt;0,01_Lease_Master!$Z$15&gt;0),01_Lease_Master!$Y$15*01_Lease_Master!$Z$15,01_Lease_Master!$X$15)</f>
        <v>1482.40144059113</v>
      </c>
      <c r="J197" s="6" t="n">
        <f aca="false">MAX(0,H197-I197)</f>
        <v>163228.869736201</v>
      </c>
      <c r="K197" s="1" t="s">
        <v>162</v>
      </c>
    </row>
    <row r="198" customFormat="false" ht="15" hidden="false" customHeight="true" outlineLevel="0" collapsed="false">
      <c r="A198" s="1" t="s">
        <v>104</v>
      </c>
      <c r="B198" s="1" t="n">
        <v>21</v>
      </c>
      <c r="C198" s="7" t="n">
        <v>46023</v>
      </c>
      <c r="D198" s="6" t="n">
        <f aca="false">H197</f>
        <v>164711.271176792</v>
      </c>
      <c r="E198" s="6" t="n">
        <f aca="false">01_Lease_Master!$W$15</f>
        <v>0.06</v>
      </c>
      <c r="F198" s="6" t="n">
        <f aca="false">D198*((1+E198)^((C198-IF(B198=1,01_Lease_Master!$D$15,C197))/365)-1)</f>
        <v>817.154363681928</v>
      </c>
      <c r="G198" s="1" t="n">
        <f aca="false">IF(C198=01_Lease_Master!$V$15,01_Lease_Master!$U$15,0)</f>
        <v>0</v>
      </c>
      <c r="H198" s="6" t="n">
        <f aca="false">MAX(0,D198+F198-G198)</f>
        <v>165528.425540474</v>
      </c>
      <c r="I198" s="6" t="n">
        <f aca="false">H198*IF(AND(01_Lease_Master!$Y$15&gt;0,01_Lease_Master!$Z$15&gt;0),01_Lease_Master!$Y$15*01_Lease_Master!$Z$15,01_Lease_Master!$X$15)</f>
        <v>1489.75582986427</v>
      </c>
      <c r="J198" s="6" t="n">
        <f aca="false">MAX(0,H198-I198)</f>
        <v>164038.66971061</v>
      </c>
      <c r="K198" s="1" t="s">
        <v>162</v>
      </c>
    </row>
    <row r="199" customFormat="false" ht="15" hidden="false" customHeight="true" outlineLevel="0" collapsed="false">
      <c r="A199" s="1" t="s">
        <v>104</v>
      </c>
      <c r="B199" s="1" t="n">
        <v>22</v>
      </c>
      <c r="C199" s="7" t="n">
        <v>46054</v>
      </c>
      <c r="D199" s="6" t="n">
        <f aca="false">H198</f>
        <v>165528.425540474</v>
      </c>
      <c r="E199" s="6" t="n">
        <f aca="false">01_Lease_Master!$W$15</f>
        <v>0.06</v>
      </c>
      <c r="F199" s="6" t="n">
        <f aca="false">D199*((1+E199)^((C199-IF(B199=1,01_Lease_Master!$D$15,C198))/365)-1)</f>
        <v>821.208374371747</v>
      </c>
      <c r="G199" s="1" t="n">
        <f aca="false">IF(C199=01_Lease_Master!$V$15,01_Lease_Master!$U$15,0)</f>
        <v>0</v>
      </c>
      <c r="H199" s="6" t="n">
        <f aca="false">MAX(0,D199+F199-G199)</f>
        <v>166349.633914846</v>
      </c>
      <c r="I199" s="6" t="n">
        <f aca="false">H199*IF(AND(01_Lease_Master!$Y$15&gt;0,01_Lease_Master!$Z$15&gt;0),01_Lease_Master!$Y$15*01_Lease_Master!$Z$15,01_Lease_Master!$X$15)</f>
        <v>1497.14670523361</v>
      </c>
      <c r="J199" s="6" t="n">
        <f aca="false">MAX(0,H199-I199)</f>
        <v>164852.487209612</v>
      </c>
      <c r="K199" s="1" t="s">
        <v>162</v>
      </c>
    </row>
    <row r="200" customFormat="false" ht="15" hidden="false" customHeight="true" outlineLevel="0" collapsed="false">
      <c r="A200" s="1" t="s">
        <v>104</v>
      </c>
      <c r="B200" s="1" t="n">
        <v>23</v>
      </c>
      <c r="C200" s="7" t="n">
        <v>46082</v>
      </c>
      <c r="D200" s="6" t="n">
        <f aca="false">H199</f>
        <v>166349.633914846</v>
      </c>
      <c r="E200" s="6" t="n">
        <f aca="false">01_Lease_Master!$W$15</f>
        <v>0.06</v>
      </c>
      <c r="F200" s="6" t="n">
        <f aca="false">D200*((1+E200)^((C200-IF(B200=1,01_Lease_Master!$D$15,C199))/365)-1)</f>
        <v>745.237832327709</v>
      </c>
      <c r="G200" s="1" t="n">
        <f aca="false">IF(C200=01_Lease_Master!$V$15,01_Lease_Master!$U$15,0)</f>
        <v>0</v>
      </c>
      <c r="H200" s="6" t="n">
        <f aca="false">MAX(0,D200+F200-G200)</f>
        <v>167094.871747174</v>
      </c>
      <c r="I200" s="6" t="n">
        <f aca="false">H200*IF(AND(01_Lease_Master!$Y$15&gt;0,01_Lease_Master!$Z$15&gt;0),01_Lease_Master!$Y$15*01_Lease_Master!$Z$15,01_Lease_Master!$X$15)</f>
        <v>1503.85384572456</v>
      </c>
      <c r="J200" s="6" t="n">
        <f aca="false">MAX(0,H200-I200)</f>
        <v>165591.017901449</v>
      </c>
      <c r="K200" s="1" t="s">
        <v>162</v>
      </c>
    </row>
    <row r="201" customFormat="false" ht="15" hidden="false" customHeight="true" outlineLevel="0" collapsed="false">
      <c r="A201" s="1" t="s">
        <v>104</v>
      </c>
      <c r="B201" s="1" t="n">
        <v>24</v>
      </c>
      <c r="C201" s="7" t="n">
        <v>46113</v>
      </c>
      <c r="D201" s="6" t="n">
        <f aca="false">H200</f>
        <v>167094.871747174</v>
      </c>
      <c r="E201" s="6" t="n">
        <f aca="false">01_Lease_Master!$W$15</f>
        <v>0.06</v>
      </c>
      <c r="F201" s="6" t="n">
        <f aca="false">D201*((1+E201)^((C201-IF(B201=1,01_Lease_Master!$D$15,C200))/365)-1)</f>
        <v>828.979720826256</v>
      </c>
      <c r="G201" s="1" t="n">
        <f aca="false">IF(C201=01_Lease_Master!$V$15,01_Lease_Master!$U$15,0)</f>
        <v>0</v>
      </c>
      <c r="H201" s="6" t="n">
        <f aca="false">MAX(0,D201+F201-G201)</f>
        <v>167923.851468</v>
      </c>
      <c r="I201" s="6" t="n">
        <f aca="false">H201*IF(AND(01_Lease_Master!$Y$15&gt;0,01_Lease_Master!$Z$15&gt;0),01_Lease_Master!$Y$15*01_Lease_Master!$Z$15,01_Lease_Master!$X$15)</f>
        <v>1511.314663212</v>
      </c>
      <c r="J201" s="6" t="n">
        <f aca="false">MAX(0,H201-I201)</f>
        <v>166412.536804788</v>
      </c>
      <c r="K201" s="1" t="s">
        <v>162</v>
      </c>
    </row>
    <row r="202" customFormat="false" ht="15" hidden="false" customHeight="true" outlineLevel="0" collapsed="false">
      <c r="A202" s="1" t="s">
        <v>104</v>
      </c>
      <c r="B202" s="1" t="n">
        <v>25</v>
      </c>
      <c r="C202" s="7" t="n">
        <v>46143</v>
      </c>
      <c r="D202" s="6" t="n">
        <f aca="false">H201</f>
        <v>167923.851468</v>
      </c>
      <c r="E202" s="6" t="n">
        <f aca="false">01_Lease_Master!$W$15</f>
        <v>0.06</v>
      </c>
      <c r="F202" s="6" t="n">
        <f aca="false">D202*((1+E202)^((C202-IF(B202=1,01_Lease_Master!$D$15,C201))/365)-1)</f>
        <v>806.154047982647</v>
      </c>
      <c r="G202" s="1" t="n">
        <f aca="false">IF(C202=01_Lease_Master!$V$15,01_Lease_Master!$U$15,0)</f>
        <v>0</v>
      </c>
      <c r="H202" s="6" t="n">
        <f aca="false">MAX(0,D202+F202-G202)</f>
        <v>168730.005515982</v>
      </c>
      <c r="I202" s="6" t="n">
        <f aca="false">H202*IF(AND(01_Lease_Master!$Y$15&gt;0,01_Lease_Master!$Z$15&gt;0),01_Lease_Master!$Y$15*01_Lease_Master!$Z$15,01_Lease_Master!$X$15)</f>
        <v>1518.57004964384</v>
      </c>
      <c r="J202" s="6" t="n">
        <f aca="false">MAX(0,H202-I202)</f>
        <v>167211.435466339</v>
      </c>
      <c r="K202" s="1" t="s">
        <v>162</v>
      </c>
    </row>
    <row r="203" customFormat="false" ht="15" hidden="false" customHeight="true" outlineLevel="0" collapsed="false">
      <c r="A203" s="1" t="s">
        <v>104</v>
      </c>
      <c r="B203" s="1" t="n">
        <v>26</v>
      </c>
      <c r="C203" s="7" t="n">
        <v>46174</v>
      </c>
      <c r="D203" s="6" t="n">
        <f aca="false">H202</f>
        <v>168730.005515982</v>
      </c>
      <c r="E203" s="6" t="n">
        <f aca="false">01_Lease_Master!$W$15</f>
        <v>0.06</v>
      </c>
      <c r="F203" s="6" t="n">
        <f aca="false">D203*((1+E203)^((C203-IF(B203=1,01_Lease_Master!$D$15,C202))/365)-1)</f>
        <v>837.091835345436</v>
      </c>
      <c r="G203" s="1" t="n">
        <f aca="false">IF(C203=01_Lease_Master!$V$15,01_Lease_Master!$U$15,0)</f>
        <v>0</v>
      </c>
      <c r="H203" s="6" t="n">
        <f aca="false">MAX(0,D203+F203-G203)</f>
        <v>169567.097351328</v>
      </c>
      <c r="I203" s="6" t="n">
        <f aca="false">H203*IF(AND(01_Lease_Master!$Y$15&gt;0,01_Lease_Master!$Z$15&gt;0),01_Lease_Master!$Y$15*01_Lease_Master!$Z$15,01_Lease_Master!$X$15)</f>
        <v>1526.10387616195</v>
      </c>
      <c r="J203" s="6" t="n">
        <f aca="false">MAX(0,H203-I203)</f>
        <v>168040.993475166</v>
      </c>
      <c r="K203" s="1" t="s">
        <v>162</v>
      </c>
    </row>
    <row r="204" customFormat="false" ht="15" hidden="false" customHeight="true" outlineLevel="0" collapsed="false">
      <c r="A204" s="1" t="s">
        <v>104</v>
      </c>
      <c r="B204" s="1" t="n">
        <v>27</v>
      </c>
      <c r="C204" s="7" t="n">
        <v>46204</v>
      </c>
      <c r="D204" s="6" t="n">
        <f aca="false">H203</f>
        <v>169567.097351328</v>
      </c>
      <c r="E204" s="6" t="n">
        <f aca="false">01_Lease_Master!$W$15</f>
        <v>0.06</v>
      </c>
      <c r="F204" s="6" t="n">
        <f aca="false">D204*((1+E204)^((C204-IF(B204=1,01_Lease_Master!$D$15,C203))/365)-1)</f>
        <v>814.042798205412</v>
      </c>
      <c r="G204" s="1" t="n">
        <f aca="false">IF(C204=01_Lease_Master!$V$15,01_Lease_Master!$U$15,0)</f>
        <v>0</v>
      </c>
      <c r="H204" s="6" t="n">
        <f aca="false">MAX(0,D204+F204-G204)</f>
        <v>170381.140149533</v>
      </c>
      <c r="I204" s="6" t="n">
        <f aca="false">H204*IF(AND(01_Lease_Master!$Y$15&gt;0,01_Lease_Master!$Z$15&gt;0),01_Lease_Master!$Y$15*01_Lease_Master!$Z$15,01_Lease_Master!$X$15)</f>
        <v>1533.4302613458</v>
      </c>
      <c r="J204" s="6" t="n">
        <f aca="false">MAX(0,H204-I204)</f>
        <v>168847.709888188</v>
      </c>
      <c r="K204" s="1" t="s">
        <v>162</v>
      </c>
    </row>
    <row r="205" customFormat="false" ht="15" hidden="false" customHeight="true" outlineLevel="0" collapsed="false">
      <c r="A205" s="1" t="s">
        <v>104</v>
      </c>
      <c r="B205" s="1" t="n">
        <v>28</v>
      </c>
      <c r="C205" s="7" t="n">
        <v>46235</v>
      </c>
      <c r="D205" s="6" t="n">
        <f aca="false">H204</f>
        <v>170381.140149533</v>
      </c>
      <c r="E205" s="6" t="n">
        <f aca="false">01_Lease_Master!$W$15</f>
        <v>0.06</v>
      </c>
      <c r="F205" s="6" t="n">
        <f aca="false">D205*((1+E205)^((C205-IF(B205=1,01_Lease_Master!$D$15,C204))/365)-1)</f>
        <v>845.283332267248</v>
      </c>
      <c r="G205" s="1" t="n">
        <f aca="false">IF(C205=01_Lease_Master!$V$15,01_Lease_Master!$U$15,0)</f>
        <v>0</v>
      </c>
      <c r="H205" s="6" t="n">
        <f aca="false">MAX(0,D205+F205-G205)</f>
        <v>171226.423481801</v>
      </c>
      <c r="I205" s="6" t="n">
        <f aca="false">H205*IF(AND(01_Lease_Master!$Y$15&gt;0,01_Lease_Master!$Z$15&gt;0),01_Lease_Master!$Y$15*01_Lease_Master!$Z$15,01_Lease_Master!$X$15)</f>
        <v>1541.03781133621</v>
      </c>
      <c r="J205" s="6" t="n">
        <f aca="false">MAX(0,H205-I205)</f>
        <v>169685.385670464</v>
      </c>
      <c r="K205" s="1" t="s">
        <v>162</v>
      </c>
    </row>
    <row r="206" customFormat="false" ht="15" hidden="false" customHeight="true" outlineLevel="0" collapsed="false">
      <c r="A206" s="1" t="s">
        <v>104</v>
      </c>
      <c r="B206" s="1" t="n">
        <v>29</v>
      </c>
      <c r="C206" s="7" t="n">
        <v>46266</v>
      </c>
      <c r="D206" s="6" t="n">
        <f aca="false">H205</f>
        <v>171226.423481801</v>
      </c>
      <c r="E206" s="6" t="n">
        <f aca="false">01_Lease_Master!$W$15</f>
        <v>0.06</v>
      </c>
      <c r="F206" s="6" t="n">
        <f aca="false">D206*((1+E206)^((C206-IF(B206=1,01_Lease_Master!$D$15,C205))/365)-1)</f>
        <v>849.47689448418</v>
      </c>
      <c r="G206" s="1" t="n">
        <f aca="false">IF(C206=01_Lease_Master!$V$15,01_Lease_Master!$U$15,0)</f>
        <v>0</v>
      </c>
      <c r="H206" s="6" t="n">
        <f aca="false">MAX(0,D206+F206-G206)</f>
        <v>172075.900376285</v>
      </c>
      <c r="I206" s="6" t="n">
        <f aca="false">H206*IF(AND(01_Lease_Master!$Y$15&gt;0,01_Lease_Master!$Z$15&gt;0),01_Lease_Master!$Y$15*01_Lease_Master!$Z$15,01_Lease_Master!$X$15)</f>
        <v>1548.68310338656</v>
      </c>
      <c r="J206" s="6" t="n">
        <f aca="false">MAX(0,H206-I206)</f>
        <v>170527.217272898</v>
      </c>
      <c r="K206" s="1" t="s">
        <v>162</v>
      </c>
    </row>
    <row r="207" customFormat="false" ht="15" hidden="false" customHeight="true" outlineLevel="0" collapsed="false">
      <c r="A207" s="1" t="s">
        <v>104</v>
      </c>
      <c r="B207" s="1" t="n">
        <v>30</v>
      </c>
      <c r="C207" s="7" t="n">
        <v>46271</v>
      </c>
      <c r="D207" s="6" t="n">
        <f aca="false">H206</f>
        <v>172075.900376285</v>
      </c>
      <c r="E207" s="6" t="n">
        <f aca="false">01_Lease_Master!$W$15</f>
        <v>0.06</v>
      </c>
      <c r="F207" s="6" t="n">
        <f aca="false">D207*((1+E207)^((C207-IF(B207=1,01_Lease_Master!$D$15,C206))/365)-1)</f>
        <v>137.406541936849</v>
      </c>
      <c r="G207" s="1" t="n">
        <f aca="false">IF(C207=01_Lease_Master!$V$15,01_Lease_Master!$U$15,0)</f>
        <v>0</v>
      </c>
      <c r="H207" s="6" t="n">
        <f aca="false">MAX(0,D207+F207-G207)</f>
        <v>172213.306918222</v>
      </c>
      <c r="I207" s="6" t="n">
        <f aca="false">H207*IF(AND(01_Lease_Master!$Y$15&gt;0,01_Lease_Master!$Z$15&gt;0),01_Lease_Master!$Y$15*01_Lease_Master!$Z$15,01_Lease_Master!$X$15)</f>
        <v>1549.91976226399</v>
      </c>
      <c r="J207" s="6" t="n">
        <f aca="false">MAX(0,H207-I207)</f>
        <v>170663.387155958</v>
      </c>
      <c r="K207" s="1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4"/>
    <col collapsed="false" customWidth="true" hidden="false" outlineLevel="0" max="5" min="3" style="1" width="45"/>
    <col collapsed="false" customWidth="true" hidden="false" outlineLevel="0" max="6" min="6" style="1" width="19"/>
    <col collapsed="false" customWidth="true" hidden="false" outlineLevel="0" max="7" min="7" style="1" width="24"/>
    <col collapsed="false" customWidth="true" hidden="false" outlineLevel="0" max="9" min="8" style="1" width="45"/>
  </cols>
  <sheetData>
    <row r="1" customFormat="false" ht="17.25" hidden="false" customHeight="true" outlineLevel="0" collapsed="false">
      <c r="A1" s="2" t="s">
        <v>163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117</v>
      </c>
      <c r="C5" s="4" t="s">
        <v>137</v>
      </c>
      <c r="D5" s="4" t="s">
        <v>138</v>
      </c>
      <c r="E5" s="4" t="s">
        <v>139</v>
      </c>
      <c r="F5" s="4" t="s">
        <v>140</v>
      </c>
      <c r="G5" s="4" t="s">
        <v>141</v>
      </c>
      <c r="H5" s="4" t="s">
        <v>164</v>
      </c>
      <c r="I5" s="4" t="s">
        <v>144</v>
      </c>
    </row>
    <row r="6" customFormat="false" ht="15" hidden="false" customHeight="true" outlineLevel="0" collapsed="false">
      <c r="A6" s="1" t="s">
        <v>74</v>
      </c>
      <c r="B6" s="7" t="n">
        <v>46296</v>
      </c>
      <c r="C6" s="6" t="n">
        <f aca="false">SUMIFS(04_Lease_Liability!H:H,04_Lease_Liability!A:A,A6,04_Lease_Liability!B:B,"REPORTING")</f>
        <v>6037731.11803082</v>
      </c>
      <c r="D6" s="6" t="n">
        <f aca="false">C6*((1+01_Lease_Master!$P$7)^((B6-04_Lease_Liability!C$22)/365)-1)</f>
        <v>295521.528891248</v>
      </c>
      <c r="E6" s="6" t="n">
        <f aca="false">SUMIFS(02_Payment_Schedule!E:E,02_Payment_Schedule!A:A,A6,02_Payment_Schedule!D:D,B6)</f>
        <v>500000</v>
      </c>
      <c r="F6" s="6" t="n">
        <f aca="false">MAX(0,E6-D6)</f>
        <v>204478.471108752</v>
      </c>
      <c r="G6" s="6" t="n">
        <f aca="false">MAX(0,C6+D6-E6)</f>
        <v>5833252.64692207</v>
      </c>
      <c r="H6" s="1" t="str">
        <f aca="false">IF(AND(B6&gt;04_Lease_Liability!C$22,B6&lt;=04_Lease_Liability!C$22+365),"YES","NO")</f>
        <v>YES</v>
      </c>
      <c r="I6" s="1" t="str">
        <f aca="false">IF(ABS(C6+D6-E6-G6)&lt;=0.01,"PASS","CHECK")</f>
        <v>PASS</v>
      </c>
    </row>
    <row r="7" customFormat="false" ht="15" hidden="false" customHeight="true" outlineLevel="0" collapsed="false">
      <c r="A7" s="1" t="s">
        <v>74</v>
      </c>
      <c r="B7" s="7" t="n">
        <v>46388</v>
      </c>
      <c r="C7" s="6" t="n">
        <f aca="false">G6</f>
        <v>5833252.64692207</v>
      </c>
      <c r="D7" s="6" t="n">
        <f aca="false">C7*((1+01_Lease_Master!$P$7)^((B7-B6)/365)-1)</f>
        <v>141831.303482438</v>
      </c>
      <c r="E7" s="6" t="n">
        <f aca="false">SUMIFS(02_Payment_Schedule!E:E,02_Payment_Schedule!A:A,A7,02_Payment_Schedule!D:D,B7)</f>
        <v>525000</v>
      </c>
      <c r="F7" s="6" t="n">
        <f aca="false">MAX(0,E7-D7)</f>
        <v>383168.696517562</v>
      </c>
      <c r="G7" s="6" t="n">
        <f aca="false">MAX(0,C7+D7-E7)</f>
        <v>5450083.9504045</v>
      </c>
      <c r="H7" s="1" t="str">
        <f aca="false">IF(AND(B7&gt;04_Lease_Liability!C$22,B7&lt;=04_Lease_Liability!C$22+365),"YES","NO")</f>
        <v>YES</v>
      </c>
      <c r="I7" s="1" t="str">
        <f aca="false">IF(ABS(C7+D7-E7-G7)&lt;=0.01,"PASS","CHECK")</f>
        <v>PASS</v>
      </c>
    </row>
    <row r="8" customFormat="false" ht="15" hidden="false" customHeight="true" outlineLevel="0" collapsed="false">
      <c r="A8" s="1" t="s">
        <v>74</v>
      </c>
      <c r="B8" s="7" t="n">
        <v>46478</v>
      </c>
      <c r="C8" s="6" t="n">
        <f aca="false">G7</f>
        <v>5450083.9504045</v>
      </c>
      <c r="D8" s="6" t="n">
        <f aca="false">C8*((1+01_Lease_Master!$P$7)^((B8-B7)/365)-1)</f>
        <v>129600.097362751</v>
      </c>
      <c r="E8" s="6" t="n">
        <f aca="false">SUMIFS(02_Payment_Schedule!E:E,02_Payment_Schedule!A:A,A8,02_Payment_Schedule!D:D,B8)</f>
        <v>525000</v>
      </c>
      <c r="F8" s="6" t="n">
        <f aca="false">MAX(0,E8-D8)</f>
        <v>395399.902637249</v>
      </c>
      <c r="G8" s="6" t="n">
        <f aca="false">MAX(0,C8+D8-E8)</f>
        <v>5054684.04776726</v>
      </c>
      <c r="H8" s="1" t="str">
        <f aca="false">IF(AND(B8&gt;04_Lease_Liability!C$22,B8&lt;=04_Lease_Liability!C$22+365),"YES","NO")</f>
        <v>YES</v>
      </c>
      <c r="I8" s="1" t="str">
        <f aca="false">IF(ABS(C8+D8-E8-G8)&lt;=0.01,"PASS","CHECK")</f>
        <v>PASS</v>
      </c>
    </row>
    <row r="9" customFormat="false" ht="15" hidden="false" customHeight="true" outlineLevel="0" collapsed="false">
      <c r="A9" s="1" t="s">
        <v>74</v>
      </c>
      <c r="B9" s="7" t="n">
        <v>46569</v>
      </c>
      <c r="C9" s="6" t="n">
        <f aca="false">G8</f>
        <v>5054684.04776726</v>
      </c>
      <c r="D9" s="6" t="n">
        <f aca="false">C9*((1+01_Lease_Master!$P$7)^((B9-B8)/365)-1)</f>
        <v>121549.159122546</v>
      </c>
      <c r="E9" s="6" t="n">
        <f aca="false">SUMIFS(02_Payment_Schedule!E:E,02_Payment_Schedule!A:A,A9,02_Payment_Schedule!D:D,B9)</f>
        <v>525000</v>
      </c>
      <c r="F9" s="6" t="n">
        <f aca="false">MAX(0,E9-D9)</f>
        <v>403450.840877454</v>
      </c>
      <c r="G9" s="6" t="n">
        <f aca="false">MAX(0,C9+D9-E9)</f>
        <v>4651233.2068898</v>
      </c>
      <c r="H9" s="1" t="str">
        <f aca="false">IF(AND(B9&gt;04_Lease_Liability!C$22,B9&lt;=04_Lease_Liability!C$22+365),"YES","NO")</f>
        <v>NO</v>
      </c>
      <c r="I9" s="1" t="str">
        <f aca="false">IF(ABS(C9+D9-E9-G9)&lt;=0.01,"PASS","CHECK")</f>
        <v>PASS</v>
      </c>
    </row>
    <row r="10" customFormat="false" ht="15" hidden="false" customHeight="true" outlineLevel="0" collapsed="false">
      <c r="A10" s="1" t="s">
        <v>74</v>
      </c>
      <c r="B10" s="7" t="n">
        <v>46661</v>
      </c>
      <c r="C10" s="6" t="n">
        <f aca="false">G9</f>
        <v>4651233.2068898</v>
      </c>
      <c r="D10" s="6" t="n">
        <f aca="false">C10*((1+01_Lease_Master!$P$7)^((B10-B9)/365)-1)</f>
        <v>113091.35888055</v>
      </c>
      <c r="E10" s="6" t="n">
        <f aca="false">SUMIFS(02_Payment_Schedule!E:E,02_Payment_Schedule!A:A,A10,02_Payment_Schedule!D:D,B10)</f>
        <v>525000</v>
      </c>
      <c r="F10" s="6" t="n">
        <f aca="false">MAX(0,E10-D10)</f>
        <v>411908.64111945</v>
      </c>
      <c r="G10" s="6" t="n">
        <f aca="false">MAX(0,C10+D10-E10)</f>
        <v>4239324.56577035</v>
      </c>
      <c r="H10" s="1" t="str">
        <f aca="false">IF(AND(B10&gt;04_Lease_Liability!C$22,B10&lt;=04_Lease_Liability!C$22+365),"YES","NO")</f>
        <v>NO</v>
      </c>
      <c r="I10" s="1" t="str">
        <f aca="false">IF(ABS(C10+D10-E10-G10)&lt;=0.01,"PASS","CHECK")</f>
        <v>PASS</v>
      </c>
    </row>
    <row r="11" customFormat="false" ht="15" hidden="false" customHeight="true" outlineLevel="0" collapsed="false">
      <c r="A11" s="1" t="s">
        <v>74</v>
      </c>
      <c r="B11" s="7" t="n">
        <v>46753</v>
      </c>
      <c r="C11" s="6" t="n">
        <f aca="false">G10</f>
        <v>4239324.56577035</v>
      </c>
      <c r="D11" s="6" t="n">
        <f aca="false">C11*((1+01_Lease_Master!$P$7)^((B11-B10)/365)-1)</f>
        <v>103076.099295235</v>
      </c>
      <c r="E11" s="6" t="n">
        <f aca="false">SUMIFS(02_Payment_Schedule!E:E,02_Payment_Schedule!A:A,A11,02_Payment_Schedule!D:D,B11)</f>
        <v>550000</v>
      </c>
      <c r="F11" s="6" t="n">
        <f aca="false">MAX(0,E11-D11)</f>
        <v>446923.900704765</v>
      </c>
      <c r="G11" s="6" t="n">
        <f aca="false">MAX(0,C11+D11-E11)</f>
        <v>3792400.66506559</v>
      </c>
      <c r="H11" s="1" t="str">
        <f aca="false">IF(AND(B11&gt;04_Lease_Liability!C$22,B11&lt;=04_Lease_Liability!C$22+365),"YES","NO")</f>
        <v>NO</v>
      </c>
      <c r="I11" s="1" t="str">
        <f aca="false">IF(ABS(C11+D11-E11-G11)&lt;=0.01,"PASS","CHECK")</f>
        <v>PASS</v>
      </c>
    </row>
    <row r="12" customFormat="false" ht="15" hidden="false" customHeight="true" outlineLevel="0" collapsed="false">
      <c r="A12" s="1" t="s">
        <v>74</v>
      </c>
      <c r="B12" s="7" t="n">
        <v>46844</v>
      </c>
      <c r="C12" s="6" t="n">
        <f aca="false">G11</f>
        <v>3792400.66506559</v>
      </c>
      <c r="D12" s="6" t="n">
        <f aca="false">C12*((1+01_Lease_Master!$P$7)^((B12-B11)/365)-1)</f>
        <v>91195.2374348941</v>
      </c>
      <c r="E12" s="6" t="n">
        <f aca="false">SUMIFS(02_Payment_Schedule!E:E,02_Payment_Schedule!A:A,A12,02_Payment_Schedule!D:D,B12)</f>
        <v>550000</v>
      </c>
      <c r="F12" s="6" t="n">
        <f aca="false">MAX(0,E12-D12)</f>
        <v>458804.762565106</v>
      </c>
      <c r="G12" s="6" t="n">
        <f aca="false">MAX(0,C12+D12-E12)</f>
        <v>3333595.90250048</v>
      </c>
      <c r="H12" s="1" t="str">
        <f aca="false">IF(AND(B12&gt;04_Lease_Liability!C$22,B12&lt;=04_Lease_Liability!C$22+365),"YES","NO")</f>
        <v>NO</v>
      </c>
      <c r="I12" s="1" t="str">
        <f aca="false">IF(ABS(C12+D12-E12-G12)&lt;=0.01,"PASS","CHECK")</f>
        <v>PASS</v>
      </c>
    </row>
    <row r="13" customFormat="false" ht="15" hidden="false" customHeight="true" outlineLevel="0" collapsed="false">
      <c r="A13" s="1" t="s">
        <v>74</v>
      </c>
      <c r="B13" s="7" t="n">
        <v>46935</v>
      </c>
      <c r="C13" s="6" t="n">
        <f aca="false">G12</f>
        <v>3333595.90250048</v>
      </c>
      <c r="D13" s="6" t="n">
        <f aca="false">C13*((1+01_Lease_Master!$P$7)^((B13-B12)/365)-1)</f>
        <v>80162.4344813957</v>
      </c>
      <c r="E13" s="6" t="n">
        <f aca="false">SUMIFS(02_Payment_Schedule!E:E,02_Payment_Schedule!A:A,A13,02_Payment_Schedule!D:D,B13)</f>
        <v>550000</v>
      </c>
      <c r="F13" s="6" t="n">
        <f aca="false">MAX(0,E13-D13)</f>
        <v>469837.565518604</v>
      </c>
      <c r="G13" s="6" t="n">
        <f aca="false">MAX(0,C13+D13-E13)</f>
        <v>2863758.33698188</v>
      </c>
      <c r="H13" s="1" t="str">
        <f aca="false">IF(AND(B13&gt;04_Lease_Liability!C$22,B13&lt;=04_Lease_Liability!C$22+365),"YES","NO")</f>
        <v>NO</v>
      </c>
      <c r="I13" s="1" t="str">
        <f aca="false">IF(ABS(C13+D13-E13-G13)&lt;=0.01,"PASS","CHECK")</f>
        <v>PASS</v>
      </c>
    </row>
    <row r="14" customFormat="false" ht="15" hidden="false" customHeight="true" outlineLevel="0" collapsed="false">
      <c r="A14" s="1" t="s">
        <v>74</v>
      </c>
      <c r="B14" s="7" t="n">
        <v>47027</v>
      </c>
      <c r="C14" s="6" t="n">
        <f aca="false">G13</f>
        <v>2863758.33698188</v>
      </c>
      <c r="D14" s="6" t="n">
        <f aca="false">C14*((1+01_Lease_Master!$P$7)^((B14-B13)/365)-1)</f>
        <v>69630.2050292911</v>
      </c>
      <c r="E14" s="6" t="n">
        <f aca="false">SUMIFS(02_Payment_Schedule!E:E,02_Payment_Schedule!A:A,A14,02_Payment_Schedule!D:D,B14)</f>
        <v>550000</v>
      </c>
      <c r="F14" s="6" t="n">
        <f aca="false">MAX(0,E14-D14)</f>
        <v>480369.794970709</v>
      </c>
      <c r="G14" s="6" t="n">
        <f aca="false">MAX(0,C14+D14-E14)</f>
        <v>2383388.54201117</v>
      </c>
      <c r="H14" s="1" t="str">
        <f aca="false">IF(AND(B14&gt;04_Lease_Liability!C$22,B14&lt;=04_Lease_Liability!C$22+365),"YES","NO")</f>
        <v>NO</v>
      </c>
      <c r="I14" s="1" t="str">
        <f aca="false">IF(ABS(C14+D14-E14-G14)&lt;=0.01,"PASS","CHECK")</f>
        <v>PASS</v>
      </c>
    </row>
    <row r="15" customFormat="false" ht="15" hidden="false" customHeight="true" outlineLevel="0" collapsed="false">
      <c r="A15" s="1" t="s">
        <v>74</v>
      </c>
      <c r="B15" s="7" t="n">
        <v>47119</v>
      </c>
      <c r="C15" s="6" t="n">
        <f aca="false">G14</f>
        <v>2383388.54201117</v>
      </c>
      <c r="D15" s="6" t="n">
        <f aca="false">C15*((1+01_Lease_Master!$P$7)^((B15-B14)/365)-1)</f>
        <v>57950.3621871957</v>
      </c>
      <c r="E15" s="6" t="n">
        <f aca="false">SUMIFS(02_Payment_Schedule!E:E,02_Payment_Schedule!A:A,A15,02_Payment_Schedule!D:D,B15)</f>
        <v>550000</v>
      </c>
      <c r="F15" s="6" t="n">
        <f aca="false">MAX(0,E15-D15)</f>
        <v>492049.637812804</v>
      </c>
      <c r="G15" s="6" t="n">
        <f aca="false">MAX(0,C15+D15-E15)</f>
        <v>1891338.90419836</v>
      </c>
      <c r="H15" s="1" t="str">
        <f aca="false">IF(AND(B15&gt;04_Lease_Liability!C$22,B15&lt;=04_Lease_Liability!C$22+365),"YES","NO")</f>
        <v>NO</v>
      </c>
      <c r="I15" s="1" t="str">
        <f aca="false">IF(ABS(C15+D15-E15-G15)&lt;=0.01,"PASS","CHECK")</f>
        <v>PASS</v>
      </c>
    </row>
    <row r="16" customFormat="false" ht="15" hidden="false" customHeight="true" outlineLevel="0" collapsed="false">
      <c r="A16" s="1" t="s">
        <v>74</v>
      </c>
      <c r="B16" s="7" t="n">
        <v>47209</v>
      </c>
      <c r="C16" s="6" t="n">
        <f aca="false">G15</f>
        <v>1891338.90419836</v>
      </c>
      <c r="D16" s="6" t="n">
        <f aca="false">C16*((1+01_Lease_Master!$P$7)^((B16-B15)/365)-1)</f>
        <v>44975.0331115311</v>
      </c>
      <c r="E16" s="6" t="n">
        <f aca="false">SUMIFS(02_Payment_Schedule!E:E,02_Payment_Schedule!A:A,A16,02_Payment_Schedule!D:D,B16)</f>
        <v>550000</v>
      </c>
      <c r="F16" s="6" t="n">
        <f aca="false">MAX(0,E16-D16)</f>
        <v>505024.966888469</v>
      </c>
      <c r="G16" s="6" t="n">
        <f aca="false">MAX(0,C16+D16-E16)</f>
        <v>1386313.93730989</v>
      </c>
      <c r="H16" s="1" t="str">
        <f aca="false">IF(AND(B16&gt;04_Lease_Liability!C$22,B16&lt;=04_Lease_Liability!C$22+365),"YES","NO")</f>
        <v>NO</v>
      </c>
      <c r="I16" s="1" t="str">
        <f aca="false">IF(ABS(C16+D16-E16-G16)&lt;=0.01,"PASS","CHECK")</f>
        <v>PASS</v>
      </c>
    </row>
    <row r="17" customFormat="false" ht="15" hidden="false" customHeight="true" outlineLevel="0" collapsed="false">
      <c r="A17" s="1" t="s">
        <v>74</v>
      </c>
      <c r="B17" s="7" t="n">
        <v>47300</v>
      </c>
      <c r="C17" s="6" t="n">
        <f aca="false">G16</f>
        <v>1386313.93730989</v>
      </c>
      <c r="D17" s="6" t="n">
        <f aca="false">C17*((1+01_Lease_Master!$P$7)^((B17-B16)/365)-1)</f>
        <v>33336.4641127897</v>
      </c>
      <c r="E17" s="6" t="n">
        <f aca="false">SUMIFS(02_Payment_Schedule!E:E,02_Payment_Schedule!A:A,A17,02_Payment_Schedule!D:D,B17)</f>
        <v>550000</v>
      </c>
      <c r="F17" s="6" t="n">
        <f aca="false">MAX(0,E17-D17)</f>
        <v>516663.53588721</v>
      </c>
      <c r="G17" s="6" t="n">
        <f aca="false">MAX(0,C17+D17-E17)</f>
        <v>869650.401422683</v>
      </c>
      <c r="H17" s="1" t="str">
        <f aca="false">IF(AND(B17&gt;04_Lease_Liability!C$22,B17&lt;=04_Lease_Liability!C$22+365),"YES","NO")</f>
        <v>NO</v>
      </c>
      <c r="I17" s="1" t="str">
        <f aca="false">IF(ABS(C17+D17-E17-G17)&lt;=0.01,"PASS","CHECK")</f>
        <v>PASS</v>
      </c>
    </row>
    <row r="18" customFormat="false" ht="15" hidden="false" customHeight="true" outlineLevel="0" collapsed="false">
      <c r="A18" s="1" t="s">
        <v>74</v>
      </c>
      <c r="B18" s="7" t="n">
        <v>47392</v>
      </c>
      <c r="C18" s="6" t="n">
        <f aca="false">G17</f>
        <v>869650.401422683</v>
      </c>
      <c r="D18" s="6" t="n">
        <f aca="false">C18*((1+01_Lease_Master!$P$7)^((B18-B17)/365)-1)</f>
        <v>21144.9181912063</v>
      </c>
      <c r="E18" s="6" t="n">
        <f aca="false">SUMIFS(02_Payment_Schedule!E:E,02_Payment_Schedule!A:A,A18,02_Payment_Schedule!D:D,B18)</f>
        <v>550000</v>
      </c>
      <c r="F18" s="6" t="n">
        <f aca="false">MAX(0,E18-D18)</f>
        <v>528855.081808794</v>
      </c>
      <c r="G18" s="6" t="n">
        <f aca="false">MAX(0,C18+D18-E18)</f>
        <v>340795.319613889</v>
      </c>
      <c r="H18" s="1" t="str">
        <f aca="false">IF(AND(B18&gt;04_Lease_Liability!C$22,B18&lt;=04_Lease_Liability!C$22+365),"YES","NO")</f>
        <v>NO</v>
      </c>
      <c r="I18" s="1" t="str">
        <f aca="false">IF(ABS(C18+D18-E18-G18)&lt;=0.01,"PASS","CHECK")</f>
        <v>PASS</v>
      </c>
    </row>
    <row r="19" customFormat="false" ht="15" hidden="false" customHeight="true" outlineLevel="0" collapsed="false">
      <c r="A19" s="1" t="s">
        <v>80</v>
      </c>
      <c r="B19" s="7" t="n">
        <v>46295</v>
      </c>
      <c r="C19" s="6" t="n">
        <f aca="false">SUMIFS(04_Lease_Liability!H:H,04_Lease_Liability!A:A,A19,04_Lease_Liability!B:B,"REPORTING")</f>
        <v>814073.990971703</v>
      </c>
      <c r="D19" s="6" t="n">
        <f aca="false">C19*((1+01_Lease_Master!$P$8)^((B19-04_Lease_Liability!C$23)/365)-1)</f>
        <v>17679.9542055123</v>
      </c>
      <c r="E19" s="6" t="n">
        <f aca="false">SUMIFS(02_Payment_Schedule!E:E,02_Payment_Schedule!A:A,A19,02_Payment_Schedule!D:D,B19)</f>
        <v>90000</v>
      </c>
      <c r="F19" s="6" t="n">
        <f aca="false">MAX(0,E19-D19)</f>
        <v>72320.0457944877</v>
      </c>
      <c r="G19" s="6" t="n">
        <f aca="false">MAX(0,C19+D19-E19)</f>
        <v>741753.945177215</v>
      </c>
      <c r="H19" s="1" t="str">
        <f aca="false">IF(AND(B19&gt;04_Lease_Liability!C$23,B19&lt;=04_Lease_Liability!C$23+365),"YES","NO")</f>
        <v>YES</v>
      </c>
      <c r="I19" s="1" t="str">
        <f aca="false">IF(ABS(C19+D19-E19-G19)&lt;=0.01,"PASS","CHECK")</f>
        <v>PASS</v>
      </c>
    </row>
    <row r="20" customFormat="false" ht="15" hidden="false" customHeight="true" outlineLevel="0" collapsed="false">
      <c r="A20" s="1" t="s">
        <v>80</v>
      </c>
      <c r="B20" s="7" t="n">
        <v>46476</v>
      </c>
      <c r="C20" s="6" t="n">
        <f aca="false">G19</f>
        <v>741753.945177215</v>
      </c>
      <c r="D20" s="6" t="n">
        <f aca="false">C20*((1+01_Lease_Master!$P$8)^((B20-B19)/365)-1)</f>
        <v>32385.6950936059</v>
      </c>
      <c r="E20" s="6" t="n">
        <f aca="false">SUMIFS(02_Payment_Schedule!E:E,02_Payment_Schedule!A:A,A20,02_Payment_Schedule!D:D,B20)</f>
        <v>90000</v>
      </c>
      <c r="F20" s="6" t="n">
        <f aca="false">MAX(0,E20-D20)</f>
        <v>57614.3049063941</v>
      </c>
      <c r="G20" s="6" t="n">
        <f aca="false">MAX(0,C20+D20-E20)</f>
        <v>684139.640270821</v>
      </c>
      <c r="H20" s="1" t="str">
        <f aca="false">IF(AND(B20&gt;04_Lease_Liability!C$23,B20&lt;=04_Lease_Liability!C$23+365),"YES","NO")</f>
        <v>YES</v>
      </c>
      <c r="I20" s="1" t="str">
        <f aca="false">IF(ABS(C20+D20-E20-G20)&lt;=0.01,"PASS","CHECK")</f>
        <v>PASS</v>
      </c>
    </row>
    <row r="21" customFormat="false" ht="15" hidden="false" customHeight="true" outlineLevel="0" collapsed="false">
      <c r="A21" s="1" t="s">
        <v>80</v>
      </c>
      <c r="B21" s="7" t="n">
        <v>46660</v>
      </c>
      <c r="C21" s="6" t="n">
        <f aca="false">G20</f>
        <v>684139.640270821</v>
      </c>
      <c r="D21" s="6" t="n">
        <f aca="false">C21*((1+01_Lease_Master!$P$8)^((B21-B20)/365)-1)</f>
        <v>30376.1181259026</v>
      </c>
      <c r="E21" s="6" t="n">
        <f aca="false">SUMIFS(02_Payment_Schedule!E:E,02_Payment_Schedule!A:A,A21,02_Payment_Schedule!D:D,B21)</f>
        <v>94500</v>
      </c>
      <c r="F21" s="6" t="n">
        <f aca="false">MAX(0,E21-D21)</f>
        <v>64123.8818740974</v>
      </c>
      <c r="G21" s="6" t="n">
        <f aca="false">MAX(0,C21+D21-E21)</f>
        <v>620015.758396724</v>
      </c>
      <c r="H21" s="1" t="str">
        <f aca="false">IF(AND(B21&gt;04_Lease_Liability!C$23,B21&lt;=04_Lease_Liability!C$23+365),"YES","NO")</f>
        <v>NO</v>
      </c>
      <c r="I21" s="1" t="str">
        <f aca="false">IF(ABS(C21+D21-E21-G21)&lt;=0.01,"PASS","CHECK")</f>
        <v>PASS</v>
      </c>
    </row>
    <row r="22" customFormat="false" ht="15" hidden="false" customHeight="true" outlineLevel="0" collapsed="false">
      <c r="A22" s="1" t="s">
        <v>80</v>
      </c>
      <c r="B22" s="7" t="n">
        <v>46842</v>
      </c>
      <c r="C22" s="6" t="n">
        <f aca="false">G21</f>
        <v>620015.758396724</v>
      </c>
      <c r="D22" s="6" t="n">
        <f aca="false">C22*((1+01_Lease_Master!$P$8)^((B22-B21)/365)-1)</f>
        <v>27223.2852649924</v>
      </c>
      <c r="E22" s="6" t="n">
        <f aca="false">SUMIFS(02_Payment_Schedule!E:E,02_Payment_Schedule!A:A,A22,02_Payment_Schedule!D:D,B22)</f>
        <v>94500</v>
      </c>
      <c r="F22" s="6" t="n">
        <f aca="false">MAX(0,E22-D22)</f>
        <v>67276.7147350076</v>
      </c>
      <c r="G22" s="6" t="n">
        <f aca="false">MAX(0,C22+D22-E22)</f>
        <v>552739.043661716</v>
      </c>
      <c r="H22" s="1" t="str">
        <f aca="false">IF(AND(B22&gt;04_Lease_Liability!C$23,B22&lt;=04_Lease_Liability!C$23+365),"YES","NO")</f>
        <v>NO</v>
      </c>
      <c r="I22" s="1" t="str">
        <f aca="false">IF(ABS(C22+D22-E22-G22)&lt;=0.01,"PASS","CHECK")</f>
        <v>PASS</v>
      </c>
    </row>
    <row r="23" customFormat="false" ht="15" hidden="false" customHeight="true" outlineLevel="0" collapsed="false">
      <c r="A23" s="1" t="s">
        <v>80</v>
      </c>
      <c r="B23" s="7" t="n">
        <v>47026</v>
      </c>
      <c r="C23" s="6" t="n">
        <f aca="false">G22</f>
        <v>552739.043661716</v>
      </c>
      <c r="D23" s="6" t="n">
        <f aca="false">C23*((1+01_Lease_Master!$P$8)^((B23-B22)/365)-1)</f>
        <v>24541.8705403772</v>
      </c>
      <c r="E23" s="6" t="n">
        <f aca="false">SUMIFS(02_Payment_Schedule!E:E,02_Payment_Schedule!A:A,A23,02_Payment_Schedule!D:D,B23)</f>
        <v>99225</v>
      </c>
      <c r="F23" s="6" t="n">
        <f aca="false">MAX(0,E23-D23)</f>
        <v>74683.1294596228</v>
      </c>
      <c r="G23" s="6" t="n">
        <f aca="false">MAX(0,C23+D23-E23)</f>
        <v>478055.914202093</v>
      </c>
      <c r="H23" s="1" t="str">
        <f aca="false">IF(AND(B23&gt;04_Lease_Liability!C$23,B23&lt;=04_Lease_Liability!C$23+365),"YES","NO")</f>
        <v>NO</v>
      </c>
      <c r="I23" s="1" t="str">
        <f aca="false">IF(ABS(C23+D23-E23-G23)&lt;=0.01,"PASS","CHECK")</f>
        <v>PASS</v>
      </c>
    </row>
    <row r="24" customFormat="false" ht="15" hidden="false" customHeight="true" outlineLevel="0" collapsed="false">
      <c r="A24" s="1" t="s">
        <v>80</v>
      </c>
      <c r="B24" s="7" t="n">
        <v>47207</v>
      </c>
      <c r="C24" s="6" t="n">
        <f aca="false">G23</f>
        <v>478055.914202093</v>
      </c>
      <c r="D24" s="6" t="n">
        <f aca="false">C24*((1+01_Lease_Master!$P$8)^((B24-B23)/365)-1)</f>
        <v>20872.3838622053</v>
      </c>
      <c r="E24" s="6" t="n">
        <f aca="false">SUMIFS(02_Payment_Schedule!E:E,02_Payment_Schedule!A:A,A24,02_Payment_Schedule!D:D,B24)</f>
        <v>99225</v>
      </c>
      <c r="F24" s="6" t="n">
        <f aca="false">MAX(0,E24-D24)</f>
        <v>78352.6161377947</v>
      </c>
      <c r="G24" s="6" t="n">
        <f aca="false">MAX(0,C24+D24-E24)</f>
        <v>399703.298064299</v>
      </c>
      <c r="H24" s="1" t="str">
        <f aca="false">IF(AND(B24&gt;04_Lease_Liability!C$23,B24&lt;=04_Lease_Liability!C$23+365),"YES","NO")</f>
        <v>NO</v>
      </c>
      <c r="I24" s="1" t="str">
        <f aca="false">IF(ABS(C24+D24-E24-G24)&lt;=0.01,"PASS","CHECK")</f>
        <v>PASS</v>
      </c>
    </row>
    <row r="25" customFormat="false" ht="15" hidden="false" customHeight="true" outlineLevel="0" collapsed="false">
      <c r="A25" s="1" t="s">
        <v>80</v>
      </c>
      <c r="B25" s="7" t="n">
        <v>47391</v>
      </c>
      <c r="C25" s="6" t="n">
        <f aca="false">G24</f>
        <v>399703.298064299</v>
      </c>
      <c r="D25" s="6" t="n">
        <f aca="false">C25*((1+01_Lease_Master!$P$8)^((B25-B24)/365)-1)</f>
        <v>17747.012280282</v>
      </c>
      <c r="E25" s="6" t="n">
        <f aca="false">SUMIFS(02_Payment_Schedule!E:E,02_Payment_Schedule!A:A,A25,02_Payment_Schedule!D:D,B25)</f>
        <v>104186.25</v>
      </c>
      <c r="F25" s="6" t="n">
        <f aca="false">MAX(0,E25-D25)</f>
        <v>86439.237719718</v>
      </c>
      <c r="G25" s="6" t="n">
        <f aca="false">MAX(0,C25+D25-E25)</f>
        <v>313264.060344581</v>
      </c>
      <c r="H25" s="1" t="str">
        <f aca="false">IF(AND(B25&gt;04_Lease_Liability!C$23,B25&lt;=04_Lease_Liability!C$23+365),"YES","NO")</f>
        <v>NO</v>
      </c>
      <c r="I25" s="1" t="str">
        <f aca="false">IF(ABS(C25+D25-E25-G25)&lt;=0.01,"PASS","CHECK")</f>
        <v>PASS</v>
      </c>
    </row>
    <row r="26" customFormat="false" ht="15" hidden="false" customHeight="true" outlineLevel="0" collapsed="false">
      <c r="A26" s="1" t="s">
        <v>80</v>
      </c>
      <c r="B26" s="7" t="n">
        <v>47572</v>
      </c>
      <c r="C26" s="6" t="n">
        <f aca="false">G25</f>
        <v>313264.060344581</v>
      </c>
      <c r="D26" s="6" t="n">
        <f aca="false">C26*((1+01_Lease_Master!$P$8)^((B26-B25)/365)-1)</f>
        <v>13677.4120421843</v>
      </c>
      <c r="E26" s="6" t="n">
        <f aca="false">SUMIFS(02_Payment_Schedule!E:E,02_Payment_Schedule!A:A,A26,02_Payment_Schedule!D:D,B26)</f>
        <v>104186.25</v>
      </c>
      <c r="F26" s="6" t="n">
        <f aca="false">MAX(0,E26-D26)</f>
        <v>90508.8379578157</v>
      </c>
      <c r="G26" s="6" t="n">
        <f aca="false">MAX(0,C26+D26-E26)</f>
        <v>222755.222386765</v>
      </c>
      <c r="H26" s="1" t="str">
        <f aca="false">IF(AND(B26&gt;04_Lease_Liability!C$23,B26&lt;=04_Lease_Liability!C$23+365),"YES","NO")</f>
        <v>NO</v>
      </c>
      <c r="I26" s="1" t="str">
        <f aca="false">IF(ABS(C26+D26-E26-G26)&lt;=0.01,"PASS","CHECK")</f>
        <v>PASS</v>
      </c>
    </row>
    <row r="27" customFormat="false" ht="15" hidden="false" customHeight="true" outlineLevel="0" collapsed="false">
      <c r="A27" s="1" t="s">
        <v>80</v>
      </c>
      <c r="B27" s="7" t="n">
        <v>47756</v>
      </c>
      <c r="C27" s="6" t="n">
        <f aca="false">G26</f>
        <v>222755.222386765</v>
      </c>
      <c r="D27" s="6" t="n">
        <f aca="false">C27*((1+01_Lease_Master!$P$8)^((B27-B26)/365)-1)</f>
        <v>9890.43544634182</v>
      </c>
      <c r="E27" s="6" t="n">
        <f aca="false">SUMIFS(02_Payment_Schedule!E:E,02_Payment_Schedule!A:A,A27,02_Payment_Schedule!D:D,B27)</f>
        <v>109395.5625</v>
      </c>
      <c r="F27" s="6" t="n">
        <f aca="false">MAX(0,E27-D27)</f>
        <v>99505.1270536582</v>
      </c>
      <c r="G27" s="6" t="n">
        <f aca="false">MAX(0,C27+D27-E27)</f>
        <v>123250.095333107</v>
      </c>
      <c r="H27" s="1" t="str">
        <f aca="false">IF(AND(B27&gt;04_Lease_Liability!C$23,B27&lt;=04_Lease_Liability!C$23+365),"YES","NO")</f>
        <v>NO</v>
      </c>
      <c r="I27" s="1" t="str">
        <f aca="false">IF(ABS(C27+D27-E27-G27)&lt;=0.01,"PASS","CHECK")</f>
        <v>PASS</v>
      </c>
    </row>
    <row r="28" customFormat="false" ht="15" hidden="false" customHeight="true" outlineLevel="0" collapsed="false">
      <c r="A28" s="1" t="s">
        <v>80</v>
      </c>
      <c r="B28" s="7" t="n">
        <v>47937</v>
      </c>
      <c r="C28" s="6" t="n">
        <f aca="false">G27</f>
        <v>123250.095333107</v>
      </c>
      <c r="D28" s="6" t="n">
        <f aca="false">C28*((1+01_Lease_Master!$P$8)^((B28-B27)/365)-1)</f>
        <v>5381.21843998042</v>
      </c>
      <c r="E28" s="6" t="n">
        <f aca="false">SUMIFS(02_Payment_Schedule!E:E,02_Payment_Schedule!A:A,A28,02_Payment_Schedule!D:D,B28)</f>
        <v>109395.5625</v>
      </c>
      <c r="F28" s="6" t="n">
        <f aca="false">MAX(0,E28-D28)</f>
        <v>104014.34406002</v>
      </c>
      <c r="G28" s="6" t="n">
        <f aca="false">MAX(0,C28+D28-E28)</f>
        <v>19235.7512730872</v>
      </c>
      <c r="H28" s="1" t="str">
        <f aca="false">IF(AND(B28&gt;04_Lease_Liability!C$23,B28&lt;=04_Lease_Liability!C$23+365),"YES","NO")</f>
        <v>NO</v>
      </c>
      <c r="I28" s="1" t="str">
        <f aca="false">IF(ABS(C28+D28-E28-G28)&lt;=0.01,"PASS","CHECK")</f>
        <v>PASS</v>
      </c>
    </row>
    <row r="29" customFormat="false" ht="15" hidden="false" customHeight="true" outlineLevel="0" collapsed="false">
      <c r="A29" s="1" t="s">
        <v>84</v>
      </c>
      <c r="B29" s="7" t="n">
        <v>46280</v>
      </c>
      <c r="C29" s="6" t="n">
        <f aca="false">SUMIFS(04_Lease_Liability!H:H,04_Lease_Liability!A:A,A29,04_Lease_Liability!B:B,"REPORTING")</f>
        <v>823063.280964409</v>
      </c>
      <c r="D29" s="6" t="n">
        <f aca="false">C29*((1+01_Lease_Master!$P$9)^((B29-04_Lease_Liability!C$43)/365)-1)</f>
        <v>29460.3973296089</v>
      </c>
      <c r="E29" s="6" t="n">
        <f aca="false">SUMIFS(02_Payment_Schedule!E:E,02_Payment_Schedule!A:A,A29,02_Payment_Schedule!D:D,B29)</f>
        <v>55000</v>
      </c>
      <c r="F29" s="6" t="n">
        <f aca="false">MAX(0,E29-D29)</f>
        <v>25539.6026703911</v>
      </c>
      <c r="G29" s="6" t="n">
        <f aca="false">MAX(0,C29+D29-E29)</f>
        <v>797523.678294018</v>
      </c>
      <c r="H29" s="1" t="str">
        <f aca="false">IF(AND(B29&gt;04_Lease_Liability!C$43,B29&lt;=04_Lease_Liability!C$43+365),"YES","NO")</f>
        <v>YES</v>
      </c>
      <c r="I29" s="1" t="str">
        <f aca="false">IF(ABS(C29+D29-E29-G29)&lt;=0.01,"PASS","CHECK")</f>
        <v>PASS</v>
      </c>
    </row>
    <row r="30" customFormat="false" ht="15" hidden="false" customHeight="true" outlineLevel="0" collapsed="false">
      <c r="A30" s="1" t="s">
        <v>84</v>
      </c>
      <c r="B30" s="7" t="n">
        <v>46310</v>
      </c>
      <c r="C30" s="6" t="n">
        <f aca="false">G29</f>
        <v>797523.678294018</v>
      </c>
      <c r="D30" s="6" t="n">
        <f aca="false">C30*((1+01_Lease_Master!$P$9)^((B30-B29)/365)-1)</f>
        <v>6870.21028141702</v>
      </c>
      <c r="E30" s="6" t="n">
        <f aca="false">SUMIFS(02_Payment_Schedule!E:E,02_Payment_Schedule!A:A,A30,02_Payment_Schedule!D:D,B30)</f>
        <v>55000</v>
      </c>
      <c r="F30" s="6" t="n">
        <f aca="false">MAX(0,E30-D30)</f>
        <v>48129.789718583</v>
      </c>
      <c r="G30" s="6" t="n">
        <f aca="false">MAX(0,C30+D30-E30)</f>
        <v>749393.888575435</v>
      </c>
      <c r="H30" s="1" t="str">
        <f aca="false">IF(AND(B30&gt;04_Lease_Liability!C$43,B30&lt;=04_Lease_Liability!C$43+365),"YES","NO")</f>
        <v>YES</v>
      </c>
      <c r="I30" s="1" t="str">
        <f aca="false">IF(ABS(C30+D30-E30-G30)&lt;=0.01,"PASS","CHECK")</f>
        <v>PASS</v>
      </c>
    </row>
    <row r="31" customFormat="false" ht="15" hidden="false" customHeight="true" outlineLevel="0" collapsed="false">
      <c r="A31" s="1" t="s">
        <v>84</v>
      </c>
      <c r="B31" s="7" t="n">
        <v>46341</v>
      </c>
      <c r="C31" s="6" t="n">
        <f aca="false">G30</f>
        <v>749393.888575435</v>
      </c>
      <c r="D31" s="6" t="n">
        <f aca="false">C31*((1+01_Lease_Master!$P$9)^((B31-B30)/365)-1)</f>
        <v>6671.74143333087</v>
      </c>
      <c r="E31" s="6" t="n">
        <f aca="false">SUMIFS(02_Payment_Schedule!E:E,02_Payment_Schedule!A:A,A31,02_Payment_Schedule!D:D,B31)</f>
        <v>55000</v>
      </c>
      <c r="F31" s="6" t="n">
        <f aca="false">MAX(0,E31-D31)</f>
        <v>48328.2585666691</v>
      </c>
      <c r="G31" s="6" t="n">
        <f aca="false">MAX(0,C31+D31-E31)</f>
        <v>701065.630008766</v>
      </c>
      <c r="H31" s="1" t="str">
        <f aca="false">IF(AND(B31&gt;04_Lease_Liability!C$43,B31&lt;=04_Lease_Liability!C$43+365),"YES","NO")</f>
        <v>YES</v>
      </c>
      <c r="I31" s="1" t="str">
        <f aca="false">IF(ABS(C31+D31-E31-G31)&lt;=0.01,"PASS","CHECK")</f>
        <v>PASS</v>
      </c>
    </row>
    <row r="32" customFormat="false" ht="15" hidden="false" customHeight="true" outlineLevel="0" collapsed="false">
      <c r="A32" s="1" t="s">
        <v>84</v>
      </c>
      <c r="B32" s="7" t="n">
        <v>46371</v>
      </c>
      <c r="C32" s="6" t="n">
        <f aca="false">G31</f>
        <v>701065.630008766</v>
      </c>
      <c r="D32" s="6" t="n">
        <f aca="false">C32*((1+01_Lease_Master!$P$9)^((B32-B31)/365)-1)</f>
        <v>6039.27937229052</v>
      </c>
      <c r="E32" s="6" t="n">
        <f aca="false">SUMIFS(02_Payment_Schedule!E:E,02_Payment_Schedule!A:A,A32,02_Payment_Schedule!D:D,B32)</f>
        <v>55000</v>
      </c>
      <c r="F32" s="6" t="n">
        <f aca="false">MAX(0,E32-D32)</f>
        <v>48960.7206277095</v>
      </c>
      <c r="G32" s="6" t="n">
        <f aca="false">MAX(0,C32+D32-E32)</f>
        <v>652104.909381057</v>
      </c>
      <c r="H32" s="1" t="str">
        <f aca="false">IF(AND(B32&gt;04_Lease_Liability!C$43,B32&lt;=04_Lease_Liability!C$43+365),"YES","NO")</f>
        <v>YES</v>
      </c>
      <c r="I32" s="1" t="str">
        <f aca="false">IF(ABS(C32+D32-E32-G32)&lt;=0.01,"PASS","CHECK")</f>
        <v>PASS</v>
      </c>
    </row>
    <row r="33" customFormat="false" ht="15" hidden="false" customHeight="true" outlineLevel="0" collapsed="false">
      <c r="A33" s="1" t="s">
        <v>84</v>
      </c>
      <c r="B33" s="7" t="n">
        <v>46402</v>
      </c>
      <c r="C33" s="6" t="n">
        <f aca="false">G32</f>
        <v>652104.909381057</v>
      </c>
      <c r="D33" s="6" t="n">
        <f aca="false">C33*((1+01_Lease_Master!$P$9)^((B33-B32)/365)-1)</f>
        <v>5805.59223810393</v>
      </c>
      <c r="E33" s="6" t="n">
        <f aca="false">SUMIFS(02_Payment_Schedule!E:E,02_Payment_Schedule!A:A,A33,02_Payment_Schedule!D:D,B33)</f>
        <v>55000</v>
      </c>
      <c r="F33" s="6" t="n">
        <f aca="false">MAX(0,E33-D33)</f>
        <v>49194.4077618961</v>
      </c>
      <c r="G33" s="6" t="n">
        <f aca="false">MAX(0,C33+D33-E33)</f>
        <v>602910.501619161</v>
      </c>
      <c r="H33" s="1" t="str">
        <f aca="false">IF(AND(B33&gt;04_Lease_Liability!C$43,B33&lt;=04_Lease_Liability!C$43+365),"YES","NO")</f>
        <v>YES</v>
      </c>
      <c r="I33" s="1" t="str">
        <f aca="false">IF(ABS(C33+D33-E33-G33)&lt;=0.01,"PASS","CHECK")</f>
        <v>PASS</v>
      </c>
    </row>
    <row r="34" customFormat="false" ht="15" hidden="false" customHeight="true" outlineLevel="0" collapsed="false">
      <c r="A34" s="1" t="s">
        <v>84</v>
      </c>
      <c r="B34" s="7" t="n">
        <v>46433</v>
      </c>
      <c r="C34" s="6" t="n">
        <f aca="false">G33</f>
        <v>602910.501619161</v>
      </c>
      <c r="D34" s="6" t="n">
        <f aca="false">C34*((1+01_Lease_Master!$P$9)^((B34-B33)/365)-1)</f>
        <v>5367.62180151933</v>
      </c>
      <c r="E34" s="6" t="n">
        <f aca="false">SUMIFS(02_Payment_Schedule!E:E,02_Payment_Schedule!A:A,A34,02_Payment_Schedule!D:D,B34)</f>
        <v>55000</v>
      </c>
      <c r="F34" s="6" t="n">
        <f aca="false">MAX(0,E34-D34)</f>
        <v>49632.3781984807</v>
      </c>
      <c r="G34" s="6" t="n">
        <f aca="false">MAX(0,C34+D34-E34)</f>
        <v>553278.12342068</v>
      </c>
      <c r="H34" s="1" t="str">
        <f aca="false">IF(AND(B34&gt;04_Lease_Liability!C$43,B34&lt;=04_Lease_Liability!C$43+365),"YES","NO")</f>
        <v>YES</v>
      </c>
      <c r="I34" s="1" t="str">
        <f aca="false">IF(ABS(C34+D34-E34-G34)&lt;=0.01,"PASS","CHECK")</f>
        <v>PASS</v>
      </c>
    </row>
    <row r="35" customFormat="false" ht="15" hidden="false" customHeight="true" outlineLevel="0" collapsed="false">
      <c r="A35" s="1" t="s">
        <v>84</v>
      </c>
      <c r="B35" s="7" t="n">
        <v>46461</v>
      </c>
      <c r="C35" s="6" t="n">
        <f aca="false">G34</f>
        <v>553278.12342068</v>
      </c>
      <c r="D35" s="6" t="n">
        <f aca="false">C35*((1+01_Lease_Master!$P$9)^((B35-B34)/365)-1)</f>
        <v>4447.15611162395</v>
      </c>
      <c r="E35" s="6" t="n">
        <f aca="false">SUMIFS(02_Payment_Schedule!E:E,02_Payment_Schedule!A:A,A35,02_Payment_Schedule!D:D,B35)</f>
        <v>55000</v>
      </c>
      <c r="F35" s="6" t="n">
        <f aca="false">MAX(0,E35-D35)</f>
        <v>50552.8438883761</v>
      </c>
      <c r="G35" s="6" t="n">
        <f aca="false">MAX(0,C35+D35-E35)</f>
        <v>502725.279532304</v>
      </c>
      <c r="H35" s="1" t="str">
        <f aca="false">IF(AND(B35&gt;04_Lease_Liability!C$43,B35&lt;=04_Lease_Liability!C$43+365),"YES","NO")</f>
        <v>YES</v>
      </c>
      <c r="I35" s="1" t="str">
        <f aca="false">IF(ABS(C35+D35-E35-G35)&lt;=0.01,"PASS","CHECK")</f>
        <v>PASS</v>
      </c>
    </row>
    <row r="36" customFormat="false" ht="15" hidden="false" customHeight="true" outlineLevel="0" collapsed="false">
      <c r="A36" s="1" t="s">
        <v>84</v>
      </c>
      <c r="B36" s="7" t="n">
        <v>46492</v>
      </c>
      <c r="C36" s="6" t="n">
        <f aca="false">G35</f>
        <v>502725.279532304</v>
      </c>
      <c r="D36" s="6" t="n">
        <f aca="false">C36*((1+01_Lease_Master!$P$9)^((B36-B35)/365)-1)</f>
        <v>4475.68779005447</v>
      </c>
      <c r="E36" s="6" t="n">
        <f aca="false">SUMIFS(02_Payment_Schedule!E:E,02_Payment_Schedule!A:A,A36,02_Payment_Schedule!D:D,B36)</f>
        <v>55000</v>
      </c>
      <c r="F36" s="6" t="n">
        <f aca="false">MAX(0,E36-D36)</f>
        <v>50524.3122099455</v>
      </c>
      <c r="G36" s="6" t="n">
        <f aca="false">MAX(0,C36+D36-E36)</f>
        <v>452200.967322358</v>
      </c>
      <c r="H36" s="1" t="str">
        <f aca="false">IF(AND(B36&gt;04_Lease_Liability!C$43,B36&lt;=04_Lease_Liability!C$43+365),"YES","NO")</f>
        <v>YES</v>
      </c>
      <c r="I36" s="1" t="str">
        <f aca="false">IF(ABS(C36+D36-E36-G36)&lt;=0.01,"PASS","CHECK")</f>
        <v>PASS</v>
      </c>
    </row>
    <row r="37" customFormat="false" ht="15" hidden="false" customHeight="true" outlineLevel="0" collapsed="false">
      <c r="A37" s="1" t="s">
        <v>84</v>
      </c>
      <c r="B37" s="7" t="n">
        <v>46522</v>
      </c>
      <c r="C37" s="6" t="n">
        <f aca="false">G36</f>
        <v>452200.967322358</v>
      </c>
      <c r="D37" s="6" t="n">
        <f aca="false">C37*((1+01_Lease_Master!$P$9)^((B37-B36)/365)-1)</f>
        <v>3895.45266118037</v>
      </c>
      <c r="E37" s="6" t="n">
        <f aca="false">SUMIFS(02_Payment_Schedule!E:E,02_Payment_Schedule!A:A,A37,02_Payment_Schedule!D:D,B37)</f>
        <v>55000</v>
      </c>
      <c r="F37" s="6" t="n">
        <f aca="false">MAX(0,E37-D37)</f>
        <v>51104.5473388196</v>
      </c>
      <c r="G37" s="6" t="n">
        <f aca="false">MAX(0,C37+D37-E37)</f>
        <v>401096.419983539</v>
      </c>
      <c r="H37" s="1" t="str">
        <f aca="false">IF(AND(B37&gt;04_Lease_Liability!C$43,B37&lt;=04_Lease_Liability!C$43+365),"YES","NO")</f>
        <v>YES</v>
      </c>
      <c r="I37" s="1" t="str">
        <f aca="false">IF(ABS(C37+D37-E37-G37)&lt;=0.01,"PASS","CHECK")</f>
        <v>PASS</v>
      </c>
    </row>
    <row r="38" customFormat="false" ht="15" hidden="false" customHeight="true" outlineLevel="0" collapsed="false">
      <c r="A38" s="1" t="s">
        <v>84</v>
      </c>
      <c r="B38" s="7" t="n">
        <v>46553</v>
      </c>
      <c r="C38" s="6" t="n">
        <f aca="false">G37</f>
        <v>401096.419983539</v>
      </c>
      <c r="D38" s="6" t="n">
        <f aca="false">C38*((1+01_Lease_Master!$P$9)^((B38-B37)/365)-1)</f>
        <v>3570.90129071086</v>
      </c>
      <c r="E38" s="6" t="n">
        <f aca="false">SUMIFS(02_Payment_Schedule!E:E,02_Payment_Schedule!A:A,A38,02_Payment_Schedule!D:D,B38)</f>
        <v>55000</v>
      </c>
      <c r="F38" s="6" t="n">
        <f aca="false">MAX(0,E38-D38)</f>
        <v>51429.0987092891</v>
      </c>
      <c r="G38" s="6" t="n">
        <f aca="false">MAX(0,C38+D38-E38)</f>
        <v>349667.32127425</v>
      </c>
      <c r="H38" s="1" t="str">
        <f aca="false">IF(AND(B38&gt;04_Lease_Liability!C$43,B38&lt;=04_Lease_Liability!C$43+365),"YES","NO")</f>
        <v>NO</v>
      </c>
      <c r="I38" s="1" t="str">
        <f aca="false">IF(ABS(C38+D38-E38-G38)&lt;=0.01,"PASS","CHECK")</f>
        <v>PASS</v>
      </c>
    </row>
    <row r="39" customFormat="false" ht="15" hidden="false" customHeight="true" outlineLevel="0" collapsed="false">
      <c r="A39" s="1" t="s">
        <v>84</v>
      </c>
      <c r="B39" s="7" t="n">
        <v>46583</v>
      </c>
      <c r="C39" s="6" t="n">
        <f aca="false">G38</f>
        <v>349667.32127425</v>
      </c>
      <c r="D39" s="6" t="n">
        <f aca="false">C39*((1+01_Lease_Master!$P$9)^((B39-B38)/365)-1)</f>
        <v>3012.18395274812</v>
      </c>
      <c r="E39" s="6" t="n">
        <f aca="false">SUMIFS(02_Payment_Schedule!E:E,02_Payment_Schedule!A:A,A39,02_Payment_Schedule!D:D,B39)</f>
        <v>55000</v>
      </c>
      <c r="F39" s="6" t="n">
        <f aca="false">MAX(0,E39-D39)</f>
        <v>51987.8160472519</v>
      </c>
      <c r="G39" s="6" t="n">
        <f aca="false">MAX(0,C39+D39-E39)</f>
        <v>297679.505226998</v>
      </c>
      <c r="H39" s="1" t="str">
        <f aca="false">IF(AND(B39&gt;04_Lease_Liability!C$43,B39&lt;=04_Lease_Liability!C$43+365),"YES","NO")</f>
        <v>NO</v>
      </c>
      <c r="I39" s="1" t="str">
        <f aca="false">IF(ABS(C39+D39-E39-G39)&lt;=0.01,"PASS","CHECK")</f>
        <v>PASS</v>
      </c>
    </row>
    <row r="40" customFormat="false" ht="15" hidden="false" customHeight="true" outlineLevel="0" collapsed="false">
      <c r="A40" s="1" t="s">
        <v>84</v>
      </c>
      <c r="B40" s="7" t="n">
        <v>46614</v>
      </c>
      <c r="C40" s="6" t="n">
        <f aca="false">G39</f>
        <v>297679.505226998</v>
      </c>
      <c r="D40" s="6" t="n">
        <f aca="false">C40*((1+01_Lease_Master!$P$9)^((B40-B39)/365)-1)</f>
        <v>2650.19600393562</v>
      </c>
      <c r="E40" s="6" t="n">
        <f aca="false">SUMIFS(02_Payment_Schedule!E:E,02_Payment_Schedule!A:A,A40,02_Payment_Schedule!D:D,B40)</f>
        <v>55000</v>
      </c>
      <c r="F40" s="6" t="n">
        <f aca="false">MAX(0,E40-D40)</f>
        <v>52349.8039960644</v>
      </c>
      <c r="G40" s="6" t="n">
        <f aca="false">MAX(0,C40+D40-E40)</f>
        <v>245329.701230933</v>
      </c>
      <c r="H40" s="1" t="str">
        <f aca="false">IF(AND(B40&gt;04_Lease_Liability!C$43,B40&lt;=04_Lease_Liability!C$43+365),"YES","NO")</f>
        <v>NO</v>
      </c>
      <c r="I40" s="1" t="str">
        <f aca="false">IF(ABS(C40+D40-E40-G40)&lt;=0.01,"PASS","CHECK")</f>
        <v>PASS</v>
      </c>
    </row>
    <row r="41" customFormat="false" ht="15" hidden="false" customHeight="true" outlineLevel="0" collapsed="false">
      <c r="A41" s="1" t="s">
        <v>84</v>
      </c>
      <c r="B41" s="7" t="n">
        <v>46645</v>
      </c>
      <c r="C41" s="6" t="n">
        <f aca="false">G40</f>
        <v>245329.701230933</v>
      </c>
      <c r="D41" s="6" t="n">
        <f aca="false">C41*((1+01_Lease_Master!$P$9)^((B41-B40)/365)-1)</f>
        <v>2184.1335477669</v>
      </c>
      <c r="E41" s="6" t="n">
        <f aca="false">SUMIFS(02_Payment_Schedule!E:E,02_Payment_Schedule!A:A,A41,02_Payment_Schedule!D:D,B41)</f>
        <v>55000</v>
      </c>
      <c r="F41" s="6" t="n">
        <f aca="false">MAX(0,E41-D41)</f>
        <v>52815.8664522331</v>
      </c>
      <c r="G41" s="6" t="n">
        <f aca="false">MAX(0,C41+D41-E41)</f>
        <v>192513.8347787</v>
      </c>
      <c r="H41" s="1" t="str">
        <f aca="false">IF(AND(B41&gt;04_Lease_Liability!C$43,B41&lt;=04_Lease_Liability!C$43+365),"YES","NO")</f>
        <v>NO</v>
      </c>
      <c r="I41" s="1" t="str">
        <f aca="false">IF(ABS(C41+D41-E41-G41)&lt;=0.01,"PASS","CHECK")</f>
        <v>PASS</v>
      </c>
    </row>
    <row r="42" customFormat="false" ht="15" hidden="false" customHeight="true" outlineLevel="0" collapsed="false">
      <c r="A42" s="1" t="s">
        <v>84</v>
      </c>
      <c r="B42" s="7" t="n">
        <v>46675</v>
      </c>
      <c r="C42" s="6" t="n">
        <f aca="false">G41</f>
        <v>192513.8347787</v>
      </c>
      <c r="D42" s="6" t="n">
        <f aca="false">C42*((1+01_Lease_Master!$P$9)^((B42-B41)/365)-1)</f>
        <v>1658.39656302223</v>
      </c>
      <c r="E42" s="6" t="n">
        <f aca="false">SUMIFS(02_Payment_Schedule!E:E,02_Payment_Schedule!A:A,A42,02_Payment_Schedule!D:D,B42)</f>
        <v>55000</v>
      </c>
      <c r="F42" s="6" t="n">
        <f aca="false">MAX(0,E42-D42)</f>
        <v>53341.6034369778</v>
      </c>
      <c r="G42" s="6" t="n">
        <f aca="false">MAX(0,C42+D42-E42)</f>
        <v>139172.231341722</v>
      </c>
      <c r="H42" s="1" t="str">
        <f aca="false">IF(AND(B42&gt;04_Lease_Liability!C$43,B42&lt;=04_Lease_Liability!C$43+365),"YES","NO")</f>
        <v>NO</v>
      </c>
      <c r="I42" s="1" t="str">
        <f aca="false">IF(ABS(C42+D42-E42-G42)&lt;=0.01,"PASS","CHECK")</f>
        <v>PASS</v>
      </c>
    </row>
    <row r="43" customFormat="false" ht="15" hidden="false" customHeight="true" outlineLevel="0" collapsed="false">
      <c r="A43" s="1" t="s">
        <v>84</v>
      </c>
      <c r="B43" s="7" t="n">
        <v>46706</v>
      </c>
      <c r="C43" s="6" t="n">
        <f aca="false">G42</f>
        <v>139172.231341722</v>
      </c>
      <c r="D43" s="6" t="n">
        <f aca="false">C43*((1+01_Lease_Master!$P$9)^((B43-B42)/365)-1)</f>
        <v>1239.02950953704</v>
      </c>
      <c r="E43" s="6" t="n">
        <f aca="false">SUMIFS(02_Payment_Schedule!E:E,02_Payment_Schedule!A:A,A43,02_Payment_Schedule!D:D,B43)</f>
        <v>55000</v>
      </c>
      <c r="F43" s="6" t="n">
        <f aca="false">MAX(0,E43-D43)</f>
        <v>53760.970490463</v>
      </c>
      <c r="G43" s="6" t="n">
        <f aca="false">MAX(0,C43+D43-E43)</f>
        <v>85411.2608512595</v>
      </c>
      <c r="H43" s="1" t="str">
        <f aca="false">IF(AND(B43&gt;04_Lease_Liability!C$43,B43&lt;=04_Lease_Liability!C$43+365),"YES","NO")</f>
        <v>NO</v>
      </c>
      <c r="I43" s="1" t="str">
        <f aca="false">IF(ABS(C43+D43-E43-G43)&lt;=0.01,"PASS","CHECK")</f>
        <v>PASS</v>
      </c>
    </row>
    <row r="44" customFormat="false" ht="15" hidden="false" customHeight="true" outlineLevel="0" collapsed="false">
      <c r="A44" s="1" t="s">
        <v>84</v>
      </c>
      <c r="B44" s="7" t="n">
        <v>46736</v>
      </c>
      <c r="C44" s="6" t="n">
        <f aca="false">G43</f>
        <v>85411.2608512595</v>
      </c>
      <c r="D44" s="6" t="n">
        <f aca="false">C44*((1+01_Lease_Master!$P$9)^((B44-B43)/365)-1)</f>
        <v>735.769154471153</v>
      </c>
      <c r="E44" s="6" t="n">
        <f aca="false">SUMIFS(02_Payment_Schedule!E:E,02_Payment_Schedule!A:A,A44,02_Payment_Schedule!D:D,B44)</f>
        <v>55000</v>
      </c>
      <c r="F44" s="6" t="n">
        <f aca="false">MAX(0,E44-D44)</f>
        <v>54264.2308455288</v>
      </c>
      <c r="G44" s="6" t="n">
        <f aca="false">MAX(0,C44+D44-E44)</f>
        <v>31147.0300057306</v>
      </c>
      <c r="H44" s="1" t="str">
        <f aca="false">IF(AND(B44&gt;04_Lease_Liability!C$43,B44&lt;=04_Lease_Liability!C$43+365),"YES","NO")</f>
        <v>NO</v>
      </c>
      <c r="I44" s="1" t="str">
        <f aca="false">IF(ABS(C44+D44-E44-G44)&lt;=0.01,"PASS","CHECK")</f>
        <v>PASS</v>
      </c>
    </row>
    <row r="45" customFormat="false" ht="15" hidden="false" customHeight="true" outlineLevel="0" collapsed="false">
      <c r="A45" s="1" t="s">
        <v>88</v>
      </c>
      <c r="B45" s="7" t="n">
        <v>46296</v>
      </c>
      <c r="C45" s="6" t="n">
        <f aca="false">SUMIFS(04_Lease_Liability!H:H,04_Lease_Liability!A:A,A45,04_Lease_Liability!B:B,"REPORTING")</f>
        <v>2194175.66771186</v>
      </c>
      <c r="D45" s="6" t="n">
        <f aca="false">C45*((1+01_Lease_Master!$P$10)^((B45-04_Lease_Liability!C$56)/365)-1)</f>
        <v>264040.278261401</v>
      </c>
      <c r="E45" s="6" t="n">
        <f aca="false">SUMIFS(02_Payment_Schedule!E:E,02_Payment_Schedule!A:A,A45,02_Payment_Schedule!D:D,B45)</f>
        <v>330000</v>
      </c>
      <c r="F45" s="6" t="n">
        <f aca="false">MAX(0,E45-D45)</f>
        <v>65959.7217385991</v>
      </c>
      <c r="G45" s="6" t="n">
        <f aca="false">MAX(0,C45+D45-E45)</f>
        <v>2128215.94597326</v>
      </c>
      <c r="H45" s="1" t="str">
        <f aca="false">IF(AND(B45&gt;04_Lease_Liability!C$56,B45&lt;=04_Lease_Liability!C$56+365),"YES","NO")</f>
        <v>NO</v>
      </c>
      <c r="I45" s="1" t="str">
        <f aca="false">IF(ABS(C45+D45-E45-G45)&lt;=0.01,"PASS","CHECK")</f>
        <v>PASS</v>
      </c>
    </row>
    <row r="46" customFormat="false" ht="15" hidden="false" customHeight="true" outlineLevel="0" collapsed="false">
      <c r="A46" s="1" t="s">
        <v>88</v>
      </c>
      <c r="B46" s="7" t="n">
        <v>46388</v>
      </c>
      <c r="C46" s="6" t="n">
        <f aca="false">G45</f>
        <v>2128215.94597326</v>
      </c>
      <c r="D46" s="6" t="n">
        <f aca="false">C46*((1+01_Lease_Master!$P$10)^((B46-B45)/365)-1)</f>
        <v>49244.1785805054</v>
      </c>
      <c r="E46" s="6" t="n">
        <f aca="false">SUMIFS(02_Payment_Schedule!E:E,02_Payment_Schedule!A:A,A46,02_Payment_Schedule!D:D,B46)</f>
        <v>330000</v>
      </c>
      <c r="F46" s="6" t="n">
        <f aca="false">MAX(0,E46-D46)</f>
        <v>280755.821419495</v>
      </c>
      <c r="G46" s="6" t="n">
        <f aca="false">MAX(0,C46+D46-E46)</f>
        <v>1847460.12455377</v>
      </c>
      <c r="H46" s="1" t="str">
        <f aca="false">IF(AND(B46&gt;04_Lease_Liability!C$56,B46&lt;=04_Lease_Liability!C$56+365),"YES","NO")</f>
        <v>NO</v>
      </c>
      <c r="I46" s="1" t="str">
        <f aca="false">IF(ABS(C46+D46-E46-G46)&lt;=0.01,"PASS","CHECK")</f>
        <v>PASS</v>
      </c>
    </row>
    <row r="47" customFormat="false" ht="15" hidden="false" customHeight="true" outlineLevel="0" collapsed="false">
      <c r="A47" s="1" t="s">
        <v>88</v>
      </c>
      <c r="B47" s="7" t="n">
        <v>46478</v>
      </c>
      <c r="C47" s="6" t="n">
        <f aca="false">G46</f>
        <v>1847460.12455377</v>
      </c>
      <c r="D47" s="6" t="n">
        <f aca="false">C47*((1+01_Lease_Master!$P$10)^((B47-B46)/365)-1)</f>
        <v>41808.1132762895</v>
      </c>
      <c r="E47" s="6" t="n">
        <f aca="false">SUMIFS(02_Payment_Schedule!E:E,02_Payment_Schedule!A:A,A47,02_Payment_Schedule!D:D,B47)</f>
        <v>330000</v>
      </c>
      <c r="F47" s="6" t="n">
        <f aca="false">MAX(0,E47-D47)</f>
        <v>288191.886723711</v>
      </c>
      <c r="G47" s="6" t="n">
        <f aca="false">MAX(0,C47+D47-E47)</f>
        <v>1559268.23783006</v>
      </c>
      <c r="H47" s="1" t="str">
        <f aca="false">IF(AND(B47&gt;04_Lease_Liability!C$56,B47&lt;=04_Lease_Liability!C$56+365),"YES","NO")</f>
        <v>NO</v>
      </c>
      <c r="I47" s="1" t="str">
        <f aca="false">IF(ABS(C47+D47-E47-G47)&lt;=0.01,"PASS","CHECK")</f>
        <v>PASS</v>
      </c>
    </row>
    <row r="48" customFormat="false" ht="15" hidden="false" customHeight="true" outlineLevel="0" collapsed="false">
      <c r="A48" s="1" t="s">
        <v>88</v>
      </c>
      <c r="B48" s="7" t="n">
        <v>46569</v>
      </c>
      <c r="C48" s="6" t="n">
        <f aca="false">G47</f>
        <v>1559268.23783006</v>
      </c>
      <c r="D48" s="6" t="n">
        <f aca="false">C48*((1+01_Lease_Master!$P$10)^((B48-B47)/365)-1)</f>
        <v>35682.8394106893</v>
      </c>
      <c r="E48" s="6" t="n">
        <f aca="false">SUMIFS(02_Payment_Schedule!E:E,02_Payment_Schedule!A:A,A48,02_Payment_Schedule!D:D,B48)</f>
        <v>343200</v>
      </c>
      <c r="F48" s="6" t="n">
        <f aca="false">MAX(0,E48-D48)</f>
        <v>307517.160589311</v>
      </c>
      <c r="G48" s="6" t="n">
        <f aca="false">MAX(0,C48+D48-E48)</f>
        <v>1251751.07724075</v>
      </c>
      <c r="H48" s="1" t="str">
        <f aca="false">IF(AND(B48&gt;04_Lease_Liability!C$56,B48&lt;=04_Lease_Liability!C$56+365),"YES","NO")</f>
        <v>NO</v>
      </c>
      <c r="I48" s="1" t="str">
        <f aca="false">IF(ABS(C48+D48-E48-G48)&lt;=0.01,"PASS","CHECK")</f>
        <v>PASS</v>
      </c>
    </row>
    <row r="49" customFormat="false" ht="15" hidden="false" customHeight="true" outlineLevel="0" collapsed="false">
      <c r="A49" s="1" t="s">
        <v>88</v>
      </c>
      <c r="B49" s="7" t="n">
        <v>46661</v>
      </c>
      <c r="C49" s="6" t="n">
        <f aca="false">G48</f>
        <v>1251751.07724075</v>
      </c>
      <c r="D49" s="6" t="n">
        <f aca="false">C49*((1+01_Lease_Master!$P$10)^((B49-B48)/365)-1)</f>
        <v>28963.9092793254</v>
      </c>
      <c r="E49" s="6" t="n">
        <f aca="false">SUMIFS(02_Payment_Schedule!E:E,02_Payment_Schedule!A:A,A49,02_Payment_Schedule!D:D,B49)</f>
        <v>343200</v>
      </c>
      <c r="F49" s="6" t="n">
        <f aca="false">MAX(0,E49-D49)</f>
        <v>314236.090720675</v>
      </c>
      <c r="G49" s="6" t="n">
        <f aca="false">MAX(0,C49+D49-E49)</f>
        <v>937514.986520073</v>
      </c>
      <c r="H49" s="1" t="str">
        <f aca="false">IF(AND(B49&gt;04_Lease_Liability!C$56,B49&lt;=04_Lease_Liability!C$56+365),"YES","NO")</f>
        <v>NO</v>
      </c>
      <c r="I49" s="1" t="str">
        <f aca="false">IF(ABS(C49+D49-E49-G49)&lt;=0.01,"PASS","CHECK")</f>
        <v>PASS</v>
      </c>
    </row>
    <row r="50" customFormat="false" ht="15" hidden="false" customHeight="true" outlineLevel="0" collapsed="false">
      <c r="A50" s="1" t="s">
        <v>88</v>
      </c>
      <c r="B50" s="7" t="n">
        <v>46753</v>
      </c>
      <c r="C50" s="6" t="n">
        <f aca="false">G49</f>
        <v>937514.986520073</v>
      </c>
      <c r="D50" s="6" t="n">
        <f aca="false">C50*((1+01_Lease_Master!$P$10)^((B50-B49)/365)-1)</f>
        <v>21692.8904726262</v>
      </c>
      <c r="E50" s="6" t="n">
        <f aca="false">SUMIFS(02_Payment_Schedule!E:E,02_Payment_Schedule!A:A,A50,02_Payment_Schedule!D:D,B50)</f>
        <v>343200</v>
      </c>
      <c r="F50" s="6" t="n">
        <f aca="false">MAX(0,E50-D50)</f>
        <v>321507.109527374</v>
      </c>
      <c r="G50" s="6" t="n">
        <f aca="false">MAX(0,C50+D50-E50)</f>
        <v>616007.876992699</v>
      </c>
      <c r="H50" s="1" t="str">
        <f aca="false">IF(AND(B50&gt;04_Lease_Liability!C$56,B50&lt;=04_Lease_Liability!C$56+365),"YES","NO")</f>
        <v>NO</v>
      </c>
      <c r="I50" s="1" t="str">
        <f aca="false">IF(ABS(C50+D50-E50-G50)&lt;=0.01,"PASS","CHECK")</f>
        <v>PASS</v>
      </c>
    </row>
    <row r="51" customFormat="false" ht="15" hidden="false" customHeight="true" outlineLevel="0" collapsed="false">
      <c r="A51" s="1" t="s">
        <v>88</v>
      </c>
      <c r="B51" s="7" t="n">
        <v>46844</v>
      </c>
      <c r="C51" s="6" t="n">
        <f aca="false">G50</f>
        <v>616007.876992699</v>
      </c>
      <c r="D51" s="6" t="n">
        <f aca="false">C51*((1+01_Lease_Master!$P$10)^((B51-B50)/365)-1)</f>
        <v>14096.9395881748</v>
      </c>
      <c r="E51" s="6" t="n">
        <f aca="false">SUMIFS(02_Payment_Schedule!E:E,02_Payment_Schedule!A:A,A51,02_Payment_Schedule!D:D,B51)</f>
        <v>343200</v>
      </c>
      <c r="F51" s="6" t="n">
        <f aca="false">MAX(0,E51-D51)</f>
        <v>329103.060411825</v>
      </c>
      <c r="G51" s="6" t="n">
        <f aca="false">MAX(0,C51+D51-E51)</f>
        <v>286904.816580874</v>
      </c>
      <c r="H51" s="1" t="str">
        <f aca="false">IF(AND(B51&gt;04_Lease_Liability!C$56,B51&lt;=04_Lease_Liability!C$56+365),"YES","NO")</f>
        <v>NO</v>
      </c>
      <c r="I51" s="1" t="str">
        <f aca="false">IF(ABS(C51+D51-E51-G51)&lt;=0.01,"PASS","CHECK")</f>
        <v>PASS</v>
      </c>
    </row>
    <row r="52" customFormat="false" ht="15" hidden="false" customHeight="true" outlineLevel="0" collapsed="false">
      <c r="A52" s="1" t="s">
        <v>91</v>
      </c>
      <c r="B52" s="7" t="n">
        <v>46295</v>
      </c>
      <c r="C52" s="6" t="n">
        <f aca="false">SUMIFS(04_Lease_Liability!H:H,04_Lease_Liability!A:A,A52,04_Lease_Liability!B:B,"REPORTING")</f>
        <v>3296883.57705188</v>
      </c>
      <c r="D52" s="6" t="n">
        <f aca="false">C52*((1+01_Lease_Master!$P$11)^((B52-04_Lease_Liability!C$59)/365)-1)</f>
        <v>136876.495337231</v>
      </c>
      <c r="E52" s="6" t="n">
        <f aca="false">SUMIFS(02_Payment_Schedule!E:E,02_Payment_Schedule!A:A,A52,02_Payment_Schedule!D:D,B52)</f>
        <v>80000</v>
      </c>
      <c r="F52" s="6" t="n">
        <f aca="false">MAX(0,E52-D52)</f>
        <v>0</v>
      </c>
      <c r="G52" s="6" t="n">
        <f aca="false">MAX(0,C52+D52-E52)</f>
        <v>3353760.07238911</v>
      </c>
      <c r="H52" s="1" t="str">
        <f aca="false">IF(AND(B52&gt;04_Lease_Liability!C$59,B52&lt;=04_Lease_Liability!C$59+365),"YES","NO")</f>
        <v>YES</v>
      </c>
      <c r="I52" s="1" t="str">
        <f aca="false">IF(ABS(C52+D52-E52-G52)&lt;=0.01,"PASS","CHECK")</f>
        <v>PASS</v>
      </c>
    </row>
    <row r="53" customFormat="false" ht="15" hidden="false" customHeight="true" outlineLevel="0" collapsed="false">
      <c r="A53" s="1" t="s">
        <v>91</v>
      </c>
      <c r="B53" s="7" t="n">
        <v>46325</v>
      </c>
      <c r="C53" s="6" t="n">
        <f aca="false">G52</f>
        <v>3353760.07238911</v>
      </c>
      <c r="D53" s="6" t="n">
        <f aca="false">C53*((1+01_Lease_Master!$P$11)^((B53-B52)/365)-1)</f>
        <v>22563.2077523433</v>
      </c>
      <c r="E53" s="6" t="n">
        <f aca="false">SUMIFS(02_Payment_Schedule!E:E,02_Payment_Schedule!A:A,A53,02_Payment_Schedule!D:D,B53)</f>
        <v>80000</v>
      </c>
      <c r="F53" s="6" t="n">
        <f aca="false">MAX(0,E53-D53)</f>
        <v>57436.7922476567</v>
      </c>
      <c r="G53" s="6" t="n">
        <f aca="false">MAX(0,C53+D53-E53)</f>
        <v>3296323.28014145</v>
      </c>
      <c r="H53" s="1" t="str">
        <f aca="false">IF(AND(B53&gt;04_Lease_Liability!C$59,B53&lt;=04_Lease_Liability!C$59+365),"YES","NO")</f>
        <v>YES</v>
      </c>
      <c r="I53" s="1" t="str">
        <f aca="false">IF(ABS(C53+D53-E53-G53)&lt;=0.01,"PASS","CHECK")</f>
        <v>PASS</v>
      </c>
    </row>
    <row r="54" customFormat="false" ht="15" hidden="false" customHeight="true" outlineLevel="0" collapsed="false">
      <c r="A54" s="1" t="s">
        <v>91</v>
      </c>
      <c r="B54" s="7" t="n">
        <v>46356</v>
      </c>
      <c r="C54" s="6" t="n">
        <f aca="false">G53</f>
        <v>3296323.28014145</v>
      </c>
      <c r="D54" s="6" t="n">
        <f aca="false">C54*((1+01_Lease_Master!$P$11)^((B54-B53)/365)-1)</f>
        <v>22918.5785275511</v>
      </c>
      <c r="E54" s="6" t="n">
        <f aca="false">SUMIFS(02_Payment_Schedule!E:E,02_Payment_Schedule!A:A,A54,02_Payment_Schedule!D:D,B54)</f>
        <v>80000</v>
      </c>
      <c r="F54" s="6" t="n">
        <f aca="false">MAX(0,E54-D54)</f>
        <v>57081.4214724489</v>
      </c>
      <c r="G54" s="6" t="n">
        <f aca="false">MAX(0,C54+D54-E54)</f>
        <v>3239241.858669</v>
      </c>
      <c r="H54" s="1" t="str">
        <f aca="false">IF(AND(B54&gt;04_Lease_Liability!C$59,B54&lt;=04_Lease_Liability!C$59+365),"YES","NO")</f>
        <v>YES</v>
      </c>
      <c r="I54" s="1" t="str">
        <f aca="false">IF(ABS(C54+D54-E54-G54)&lt;=0.01,"PASS","CHECK")</f>
        <v>PASS</v>
      </c>
    </row>
    <row r="55" customFormat="false" ht="15" hidden="false" customHeight="true" outlineLevel="0" collapsed="false">
      <c r="A55" s="1" t="s">
        <v>91</v>
      </c>
      <c r="B55" s="7" t="n">
        <v>46386</v>
      </c>
      <c r="C55" s="6" t="n">
        <f aca="false">G54</f>
        <v>3239241.858669</v>
      </c>
      <c r="D55" s="6" t="n">
        <f aca="false">C55*((1+01_Lease_Master!$P$11)^((B55-B54)/365)-1)</f>
        <v>21792.7596010677</v>
      </c>
      <c r="E55" s="6" t="n">
        <f aca="false">SUMIFS(02_Payment_Schedule!E:E,02_Payment_Schedule!A:A,A55,02_Payment_Schedule!D:D,B55)</f>
        <v>80000</v>
      </c>
      <c r="F55" s="6" t="n">
        <f aca="false">MAX(0,E55-D55)</f>
        <v>58207.2403989323</v>
      </c>
      <c r="G55" s="6" t="n">
        <f aca="false">MAX(0,C55+D55-E55)</f>
        <v>3181034.61827007</v>
      </c>
      <c r="H55" s="1" t="str">
        <f aca="false">IF(AND(B55&gt;04_Lease_Liability!C$59,B55&lt;=04_Lease_Liability!C$59+365),"YES","NO")</f>
        <v>YES</v>
      </c>
      <c r="I55" s="1" t="str">
        <f aca="false">IF(ABS(C55+D55-E55-G55)&lt;=0.01,"PASS","CHECK")</f>
        <v>PASS</v>
      </c>
    </row>
    <row r="56" customFormat="false" ht="15" hidden="false" customHeight="true" outlineLevel="0" collapsed="false">
      <c r="A56" s="1" t="s">
        <v>91</v>
      </c>
      <c r="B56" s="7" t="n">
        <v>46417</v>
      </c>
      <c r="C56" s="6" t="n">
        <f aca="false">G55</f>
        <v>3181034.61827007</v>
      </c>
      <c r="D56" s="6" t="n">
        <f aca="false">C56*((1+01_Lease_Master!$P$11)^((B56-B55)/365)-1)</f>
        <v>22117.0029459467</v>
      </c>
      <c r="E56" s="6" t="n">
        <f aca="false">SUMIFS(02_Payment_Schedule!E:E,02_Payment_Schedule!A:A,A56,02_Payment_Schedule!D:D,B56)</f>
        <v>80000</v>
      </c>
      <c r="F56" s="6" t="n">
        <f aca="false">MAX(0,E56-D56)</f>
        <v>57882.9970540533</v>
      </c>
      <c r="G56" s="6" t="n">
        <f aca="false">MAX(0,C56+D56-E56)</f>
        <v>3123151.62121602</v>
      </c>
      <c r="H56" s="1" t="str">
        <f aca="false">IF(AND(B56&gt;04_Lease_Liability!C$59,B56&lt;=04_Lease_Liability!C$59+365),"YES","NO")</f>
        <v>YES</v>
      </c>
      <c r="I56" s="1" t="str">
        <f aca="false">IF(ABS(C56+D56-E56-G56)&lt;=0.01,"PASS","CHECK")</f>
        <v>PASS</v>
      </c>
    </row>
    <row r="57" customFormat="false" ht="15" hidden="false" customHeight="true" outlineLevel="0" collapsed="false">
      <c r="A57" s="1" t="s">
        <v>91</v>
      </c>
      <c r="B57" s="7" t="n">
        <v>46446</v>
      </c>
      <c r="C57" s="6" t="n">
        <f aca="false">G56</f>
        <v>3123151.62121602</v>
      </c>
      <c r="D57" s="6" t="n">
        <f aca="false">C57*((1+01_Lease_Master!$P$11)^((B57-B56)/365)-1)</f>
        <v>20309.0718857575</v>
      </c>
      <c r="E57" s="6" t="n">
        <f aca="false">SUMIFS(02_Payment_Schedule!E:E,02_Payment_Schedule!A:A,A57,02_Payment_Schedule!D:D,B57)</f>
        <v>80000</v>
      </c>
      <c r="F57" s="6" t="n">
        <f aca="false">MAX(0,E57-D57)</f>
        <v>59690.9281142425</v>
      </c>
      <c r="G57" s="6" t="n">
        <f aca="false">MAX(0,C57+D57-E57)</f>
        <v>3063460.69310178</v>
      </c>
      <c r="H57" s="1" t="str">
        <f aca="false">IF(AND(B57&gt;04_Lease_Liability!C$59,B57&lt;=04_Lease_Liability!C$59+365),"YES","NO")</f>
        <v>YES</v>
      </c>
      <c r="I57" s="1" t="str">
        <f aca="false">IF(ABS(C57+D57-E57-G57)&lt;=0.01,"PASS","CHECK")</f>
        <v>PASS</v>
      </c>
    </row>
    <row r="58" customFormat="false" ht="15" hidden="false" customHeight="true" outlineLevel="0" collapsed="false">
      <c r="A58" s="1" t="s">
        <v>91</v>
      </c>
      <c r="B58" s="7" t="n">
        <v>46474</v>
      </c>
      <c r="C58" s="6" t="n">
        <f aca="false">G57</f>
        <v>3063460.69310178</v>
      </c>
      <c r="D58" s="6" t="n">
        <f aca="false">C58*((1+01_Lease_Master!$P$11)^((B58-B57)/365)-1)</f>
        <v>19231.8369581983</v>
      </c>
      <c r="E58" s="6" t="n">
        <f aca="false">SUMIFS(02_Payment_Schedule!E:E,02_Payment_Schedule!A:A,A58,02_Payment_Schedule!D:D,B58)</f>
        <v>80000</v>
      </c>
      <c r="F58" s="6" t="n">
        <f aca="false">MAX(0,E58-D58)</f>
        <v>60768.1630418017</v>
      </c>
      <c r="G58" s="6" t="n">
        <f aca="false">MAX(0,C58+D58-E58)</f>
        <v>3002692.53005997</v>
      </c>
      <c r="H58" s="1" t="str">
        <f aca="false">IF(AND(B58&gt;04_Lease_Liability!C$59,B58&lt;=04_Lease_Liability!C$59+365),"YES","NO")</f>
        <v>YES</v>
      </c>
      <c r="I58" s="1" t="str">
        <f aca="false">IF(ABS(C58+D58-E58-G58)&lt;=0.01,"PASS","CHECK")</f>
        <v>PASS</v>
      </c>
    </row>
    <row r="59" customFormat="false" ht="15" hidden="false" customHeight="true" outlineLevel="0" collapsed="false">
      <c r="A59" s="1" t="s">
        <v>91</v>
      </c>
      <c r="B59" s="7" t="n">
        <v>46505</v>
      </c>
      <c r="C59" s="6" t="n">
        <f aca="false">G58</f>
        <v>3002692.53005997</v>
      </c>
      <c r="D59" s="6" t="n">
        <f aca="false">C59*((1+01_Lease_Master!$P$11)^((B59-B58)/365)-1)</f>
        <v>20877.0313757932</v>
      </c>
      <c r="E59" s="6" t="n">
        <f aca="false">SUMIFS(02_Payment_Schedule!E:E,02_Payment_Schedule!A:A,A59,02_Payment_Schedule!D:D,B59)</f>
        <v>80000</v>
      </c>
      <c r="F59" s="6" t="n">
        <f aca="false">MAX(0,E59-D59)</f>
        <v>59122.9686242068</v>
      </c>
      <c r="G59" s="6" t="n">
        <f aca="false">MAX(0,C59+D59-E59)</f>
        <v>2943569.56143577</v>
      </c>
      <c r="H59" s="1" t="str">
        <f aca="false">IF(AND(B59&gt;04_Lease_Liability!C$59,B59&lt;=04_Lease_Liability!C$59+365),"YES","NO")</f>
        <v>NO</v>
      </c>
      <c r="I59" s="1" t="str">
        <f aca="false">IF(ABS(C59+D59-E59-G59)&lt;=0.01,"PASS","CHECK")</f>
        <v>PASS</v>
      </c>
    </row>
    <row r="60" customFormat="false" ht="15" hidden="false" customHeight="true" outlineLevel="0" collapsed="false">
      <c r="A60" s="1" t="s">
        <v>91</v>
      </c>
      <c r="B60" s="7" t="n">
        <v>46535</v>
      </c>
      <c r="C60" s="6" t="n">
        <f aca="false">G59</f>
        <v>2943569.56143577</v>
      </c>
      <c r="D60" s="6" t="n">
        <f aca="false">C60*((1+01_Lease_Master!$P$11)^((B60-B59)/365)-1)</f>
        <v>19803.5548502539</v>
      </c>
      <c r="E60" s="6" t="n">
        <f aca="false">SUMIFS(02_Payment_Schedule!E:E,02_Payment_Schedule!A:A,A60,02_Payment_Schedule!D:D,B60)</f>
        <v>80000</v>
      </c>
      <c r="F60" s="6" t="n">
        <f aca="false">MAX(0,E60-D60)</f>
        <v>60196.4451497461</v>
      </c>
      <c r="G60" s="6" t="n">
        <f aca="false">MAX(0,C60+D60-E60)</f>
        <v>2883373.11628602</v>
      </c>
      <c r="H60" s="1" t="str">
        <f aca="false">IF(AND(B60&gt;04_Lease_Liability!C$59,B60&lt;=04_Lease_Liability!C$59+365),"YES","NO")</f>
        <v>NO</v>
      </c>
      <c r="I60" s="1" t="str">
        <f aca="false">IF(ABS(C60+D60-E60-G60)&lt;=0.01,"PASS","CHECK")</f>
        <v>PASS</v>
      </c>
    </row>
    <row r="61" customFormat="false" ht="15" hidden="false" customHeight="true" outlineLevel="0" collapsed="false">
      <c r="A61" s="1" t="s">
        <v>91</v>
      </c>
      <c r="B61" s="7" t="n">
        <v>46566</v>
      </c>
      <c r="C61" s="6" t="n">
        <f aca="false">G60</f>
        <v>2883373.11628602</v>
      </c>
      <c r="D61" s="6" t="n">
        <f aca="false">C61*((1+01_Lease_Master!$P$11)^((B61-B60)/365)-1)</f>
        <v>20047.4309021642</v>
      </c>
      <c r="E61" s="6" t="n">
        <f aca="false">SUMIFS(02_Payment_Schedule!E:E,02_Payment_Schedule!A:A,A61,02_Payment_Schedule!D:D,B61)</f>
        <v>80000</v>
      </c>
      <c r="F61" s="6" t="n">
        <f aca="false">MAX(0,E61-D61)</f>
        <v>59952.5690978358</v>
      </c>
      <c r="G61" s="6" t="n">
        <f aca="false">MAX(0,C61+D61-E61)</f>
        <v>2823420.54718818</v>
      </c>
      <c r="H61" s="1" t="str">
        <f aca="false">IF(AND(B61&gt;04_Lease_Liability!C$59,B61&lt;=04_Lease_Liability!C$59+365),"YES","NO")</f>
        <v>NO</v>
      </c>
      <c r="I61" s="1" t="str">
        <f aca="false">IF(ABS(C61+D61-E61-G61)&lt;=0.01,"PASS","CHECK")</f>
        <v>PASS</v>
      </c>
    </row>
    <row r="62" customFormat="false" ht="15" hidden="false" customHeight="true" outlineLevel="0" collapsed="false">
      <c r="A62" s="1" t="s">
        <v>91</v>
      </c>
      <c r="B62" s="7" t="n">
        <v>46596</v>
      </c>
      <c r="C62" s="6" t="n">
        <f aca="false">G61</f>
        <v>2823420.54718818</v>
      </c>
      <c r="D62" s="6" t="n">
        <f aca="false">C62*((1+01_Lease_Master!$P$11)^((B62-B61)/365)-1)</f>
        <v>18995.224167321</v>
      </c>
      <c r="E62" s="6" t="n">
        <f aca="false">SUMIFS(02_Payment_Schedule!E:E,02_Payment_Schedule!A:A,A62,02_Payment_Schedule!D:D,B62)</f>
        <v>82400</v>
      </c>
      <c r="F62" s="6" t="n">
        <f aca="false">MAX(0,E62-D62)</f>
        <v>63404.775832679</v>
      </c>
      <c r="G62" s="6" t="n">
        <f aca="false">MAX(0,C62+D62-E62)</f>
        <v>2760015.77135551</v>
      </c>
      <c r="H62" s="1" t="str">
        <f aca="false">IF(AND(B62&gt;04_Lease_Liability!C$59,B62&lt;=04_Lease_Liability!C$59+365),"YES","NO")</f>
        <v>NO</v>
      </c>
      <c r="I62" s="1" t="str">
        <f aca="false">IF(ABS(C62+D62-E62-G62)&lt;=0.01,"PASS","CHECK")</f>
        <v>PASS</v>
      </c>
    </row>
    <row r="63" customFormat="false" ht="15" hidden="false" customHeight="true" outlineLevel="0" collapsed="false">
      <c r="A63" s="1" t="s">
        <v>91</v>
      </c>
      <c r="B63" s="7" t="n">
        <v>46627</v>
      </c>
      <c r="C63" s="6" t="n">
        <f aca="false">G62</f>
        <v>2760015.77135551</v>
      </c>
      <c r="D63" s="6" t="n">
        <f aca="false">C63*((1+01_Lease_Master!$P$11)^((B63-B62)/365)-1)</f>
        <v>19189.7556208068</v>
      </c>
      <c r="E63" s="6" t="n">
        <f aca="false">SUMIFS(02_Payment_Schedule!E:E,02_Payment_Schedule!A:A,A63,02_Payment_Schedule!D:D,B63)</f>
        <v>82400</v>
      </c>
      <c r="F63" s="6" t="n">
        <f aca="false">MAX(0,E63-D63)</f>
        <v>63210.2443791932</v>
      </c>
      <c r="G63" s="6" t="n">
        <f aca="false">MAX(0,C63+D63-E63)</f>
        <v>2696805.52697631</v>
      </c>
      <c r="H63" s="1" t="str">
        <f aca="false">IF(AND(B63&gt;04_Lease_Liability!C$59,B63&lt;=04_Lease_Liability!C$59+365),"YES","NO")</f>
        <v>NO</v>
      </c>
      <c r="I63" s="1" t="str">
        <f aca="false">IF(ABS(C63+D63-E63-G63)&lt;=0.01,"PASS","CHECK")</f>
        <v>PASS</v>
      </c>
    </row>
    <row r="64" customFormat="false" ht="15" hidden="false" customHeight="true" outlineLevel="0" collapsed="false">
      <c r="A64" s="1" t="s">
        <v>91</v>
      </c>
      <c r="B64" s="7" t="n">
        <v>46658</v>
      </c>
      <c r="C64" s="6" t="n">
        <f aca="false">G63</f>
        <v>2696805.52697631</v>
      </c>
      <c r="D64" s="6" t="n">
        <f aca="false">C64*((1+01_Lease_Master!$P$11)^((B64-B63)/365)-1)</f>
        <v>18750.2693124469</v>
      </c>
      <c r="E64" s="6" t="n">
        <f aca="false">SUMIFS(02_Payment_Schedule!E:E,02_Payment_Schedule!A:A,A64,02_Payment_Schedule!D:D,B64)</f>
        <v>82400</v>
      </c>
      <c r="F64" s="6" t="n">
        <f aca="false">MAX(0,E64-D64)</f>
        <v>63649.7306875531</v>
      </c>
      <c r="G64" s="6" t="n">
        <f aca="false">MAX(0,C64+D64-E64)</f>
        <v>2633155.79628876</v>
      </c>
      <c r="H64" s="1" t="str">
        <f aca="false">IF(AND(B64&gt;04_Lease_Liability!C$59,B64&lt;=04_Lease_Liability!C$59+365),"YES","NO")</f>
        <v>NO</v>
      </c>
      <c r="I64" s="1" t="str">
        <f aca="false">IF(ABS(C64+D64-E64-G64)&lt;=0.01,"PASS","CHECK")</f>
        <v>PASS</v>
      </c>
    </row>
    <row r="65" customFormat="false" ht="15" hidden="false" customHeight="true" outlineLevel="0" collapsed="false">
      <c r="A65" s="1" t="s">
        <v>91</v>
      </c>
      <c r="B65" s="7" t="n">
        <v>46688</v>
      </c>
      <c r="C65" s="6" t="n">
        <f aca="false">G64</f>
        <v>2633155.79628876</v>
      </c>
      <c r="D65" s="6" t="n">
        <f aca="false">C65*((1+01_Lease_Master!$P$11)^((B65-B64)/365)-1)</f>
        <v>17715.1734153799</v>
      </c>
      <c r="E65" s="6" t="n">
        <f aca="false">SUMIFS(02_Payment_Schedule!E:E,02_Payment_Schedule!A:A,A65,02_Payment_Schedule!D:D,B65)</f>
        <v>82400</v>
      </c>
      <c r="F65" s="6" t="n">
        <f aca="false">MAX(0,E65-D65)</f>
        <v>64684.8265846201</v>
      </c>
      <c r="G65" s="6" t="n">
        <f aca="false">MAX(0,C65+D65-E65)</f>
        <v>2568470.96970414</v>
      </c>
      <c r="H65" s="1" t="str">
        <f aca="false">IF(AND(B65&gt;04_Lease_Liability!C$59,B65&lt;=04_Lease_Liability!C$59+365),"YES","NO")</f>
        <v>NO</v>
      </c>
      <c r="I65" s="1" t="str">
        <f aca="false">IF(ABS(C65+D65-E65-G65)&lt;=0.01,"PASS","CHECK")</f>
        <v>PASS</v>
      </c>
    </row>
    <row r="66" customFormat="false" ht="15" hidden="false" customHeight="true" outlineLevel="0" collapsed="false">
      <c r="A66" s="1" t="s">
        <v>91</v>
      </c>
      <c r="B66" s="7" t="n">
        <v>46719</v>
      </c>
      <c r="C66" s="6" t="n">
        <f aca="false">G65</f>
        <v>2568470.96970414</v>
      </c>
      <c r="D66" s="6" t="n">
        <f aca="false">C66*((1+01_Lease_Master!$P$11)^((B66-B65)/365)-1)</f>
        <v>17857.9886170551</v>
      </c>
      <c r="E66" s="6" t="n">
        <f aca="false">SUMIFS(02_Payment_Schedule!E:E,02_Payment_Schedule!A:A,A66,02_Payment_Schedule!D:D,B66)</f>
        <v>82400</v>
      </c>
      <c r="F66" s="6" t="n">
        <f aca="false">MAX(0,E66-D66)</f>
        <v>64542.0113829449</v>
      </c>
      <c r="G66" s="6" t="n">
        <f aca="false">MAX(0,C66+D66-E66)</f>
        <v>2503928.95832119</v>
      </c>
      <c r="H66" s="1" t="str">
        <f aca="false">IF(AND(B66&gt;04_Lease_Liability!C$59,B66&lt;=04_Lease_Liability!C$59+365),"YES","NO")</f>
        <v>NO</v>
      </c>
      <c r="I66" s="1" t="str">
        <f aca="false">IF(ABS(C66+D66-E66-G66)&lt;=0.01,"PASS","CHECK")</f>
        <v>PASS</v>
      </c>
    </row>
    <row r="67" customFormat="false" ht="15" hidden="false" customHeight="true" outlineLevel="0" collapsed="false">
      <c r="A67" s="1" t="s">
        <v>91</v>
      </c>
      <c r="B67" s="7" t="n">
        <v>46749</v>
      </c>
      <c r="C67" s="6" t="n">
        <f aca="false">G66</f>
        <v>2503928.95832119</v>
      </c>
      <c r="D67" s="6" t="n">
        <f aca="false">C67*((1+01_Lease_Master!$P$11)^((B67-B66)/365)-1)</f>
        <v>16845.7695435151</v>
      </c>
      <c r="E67" s="6" t="n">
        <f aca="false">SUMIFS(02_Payment_Schedule!E:E,02_Payment_Schedule!A:A,A67,02_Payment_Schedule!D:D,B67)</f>
        <v>82400</v>
      </c>
      <c r="F67" s="6" t="n">
        <f aca="false">MAX(0,E67-D67)</f>
        <v>65554.2304564849</v>
      </c>
      <c r="G67" s="6" t="n">
        <f aca="false">MAX(0,C67+D67-E67)</f>
        <v>2438374.72786471</v>
      </c>
      <c r="H67" s="1" t="str">
        <f aca="false">IF(AND(B67&gt;04_Lease_Liability!C$59,B67&lt;=04_Lease_Liability!C$59+365),"YES","NO")</f>
        <v>NO</v>
      </c>
      <c r="I67" s="1" t="str">
        <f aca="false">IF(ABS(C67+D67-E67-G67)&lt;=0.01,"PASS","CHECK")</f>
        <v>PASS</v>
      </c>
    </row>
    <row r="68" customFormat="false" ht="15" hidden="false" customHeight="true" outlineLevel="0" collapsed="false">
      <c r="A68" s="1" t="s">
        <v>91</v>
      </c>
      <c r="B68" s="7" t="n">
        <v>46780</v>
      </c>
      <c r="C68" s="6" t="n">
        <f aca="false">G67</f>
        <v>2438374.72786471</v>
      </c>
      <c r="D68" s="6" t="n">
        <f aca="false">C68*((1+01_Lease_Master!$P$11)^((B68-B67)/365)-1)</f>
        <v>16953.4593335655</v>
      </c>
      <c r="E68" s="6" t="n">
        <f aca="false">SUMIFS(02_Payment_Schedule!E:E,02_Payment_Schedule!A:A,A68,02_Payment_Schedule!D:D,B68)</f>
        <v>82400</v>
      </c>
      <c r="F68" s="6" t="n">
        <f aca="false">MAX(0,E68-D68)</f>
        <v>65446.5406664345</v>
      </c>
      <c r="G68" s="6" t="n">
        <f aca="false">MAX(0,C68+D68-E68)</f>
        <v>2372928.18719828</v>
      </c>
      <c r="H68" s="1" t="str">
        <f aca="false">IF(AND(B68&gt;04_Lease_Liability!C$59,B68&lt;=04_Lease_Liability!C$59+365),"YES","NO")</f>
        <v>NO</v>
      </c>
      <c r="I68" s="1" t="str">
        <f aca="false">IF(ABS(C68+D68-E68-G68)&lt;=0.01,"PASS","CHECK")</f>
        <v>PASS</v>
      </c>
    </row>
    <row r="69" customFormat="false" ht="15" hidden="false" customHeight="true" outlineLevel="0" collapsed="false">
      <c r="A69" s="1" t="s">
        <v>91</v>
      </c>
      <c r="B69" s="7" t="n">
        <v>46811</v>
      </c>
      <c r="C69" s="6" t="n">
        <f aca="false">G68</f>
        <v>2372928.18719828</v>
      </c>
      <c r="D69" s="6" t="n">
        <f aca="false">C69*((1+01_Lease_Master!$P$11)^((B69-B68)/365)-1)</f>
        <v>16498.4245708477</v>
      </c>
      <c r="E69" s="6" t="n">
        <f aca="false">SUMIFS(02_Payment_Schedule!E:E,02_Payment_Schedule!A:A,A69,02_Payment_Schedule!D:D,B69)</f>
        <v>82400</v>
      </c>
      <c r="F69" s="6" t="n">
        <f aca="false">MAX(0,E69-D69)</f>
        <v>65901.5754291523</v>
      </c>
      <c r="G69" s="6" t="n">
        <f aca="false">MAX(0,C69+D69-E69)</f>
        <v>2307026.61176912</v>
      </c>
      <c r="H69" s="1" t="str">
        <f aca="false">IF(AND(B69&gt;04_Lease_Liability!C$59,B69&lt;=04_Lease_Liability!C$59+365),"YES","NO")</f>
        <v>NO</v>
      </c>
      <c r="I69" s="1" t="str">
        <f aca="false">IF(ABS(C69+D69-E69-G69)&lt;=0.01,"PASS","CHECK")</f>
        <v>PASS</v>
      </c>
    </row>
    <row r="70" customFormat="false" ht="15" hidden="false" customHeight="true" outlineLevel="0" collapsed="false">
      <c r="A70" s="1" t="s">
        <v>91</v>
      </c>
      <c r="B70" s="7" t="n">
        <v>46840</v>
      </c>
      <c r="C70" s="6" t="n">
        <f aca="false">G69</f>
        <v>2307026.61176912</v>
      </c>
      <c r="D70" s="6" t="n">
        <f aca="false">C70*((1+01_Lease_Master!$P$11)^((B70-B69)/365)-1)</f>
        <v>15002.0155865926</v>
      </c>
      <c r="E70" s="6" t="n">
        <f aca="false">SUMIFS(02_Payment_Schedule!E:E,02_Payment_Schedule!A:A,A70,02_Payment_Schedule!D:D,B70)</f>
        <v>82400</v>
      </c>
      <c r="F70" s="6" t="n">
        <f aca="false">MAX(0,E70-D70)</f>
        <v>67397.9844134074</v>
      </c>
      <c r="G70" s="6" t="n">
        <f aca="false">MAX(0,C70+D70-E70)</f>
        <v>2239628.62735572</v>
      </c>
      <c r="H70" s="1" t="str">
        <f aca="false">IF(AND(B70&gt;04_Lease_Liability!C$59,B70&lt;=04_Lease_Liability!C$59+365),"YES","NO")</f>
        <v>NO</v>
      </c>
      <c r="I70" s="1" t="str">
        <f aca="false">IF(ABS(C70+D70-E70-G70)&lt;=0.01,"PASS","CHECK")</f>
        <v>PASS</v>
      </c>
    </row>
    <row r="71" customFormat="false" ht="15" hidden="false" customHeight="true" outlineLevel="0" collapsed="false">
      <c r="A71" s="1" t="s">
        <v>91</v>
      </c>
      <c r="B71" s="7" t="n">
        <v>46871</v>
      </c>
      <c r="C71" s="6" t="n">
        <f aca="false">G70</f>
        <v>2239628.62735572</v>
      </c>
      <c r="D71" s="6" t="n">
        <f aca="false">C71*((1+01_Lease_Master!$P$11)^((B71-B70)/365)-1)</f>
        <v>15571.6233531563</v>
      </c>
      <c r="E71" s="6" t="n">
        <f aca="false">SUMIFS(02_Payment_Schedule!E:E,02_Payment_Schedule!A:A,A71,02_Payment_Schedule!D:D,B71)</f>
        <v>82400</v>
      </c>
      <c r="F71" s="6" t="n">
        <f aca="false">MAX(0,E71-D71)</f>
        <v>66828.3766468437</v>
      </c>
      <c r="G71" s="6" t="n">
        <f aca="false">MAX(0,C71+D71-E71)</f>
        <v>2172800.25070887</v>
      </c>
      <c r="H71" s="1" t="str">
        <f aca="false">IF(AND(B71&gt;04_Lease_Liability!C$59,B71&lt;=04_Lease_Liability!C$59+365),"YES","NO")</f>
        <v>NO</v>
      </c>
      <c r="I71" s="1" t="str">
        <f aca="false">IF(ABS(C71+D71-E71-G71)&lt;=0.01,"PASS","CHECK")</f>
        <v>PASS</v>
      </c>
    </row>
    <row r="72" customFormat="false" ht="15" hidden="false" customHeight="true" outlineLevel="0" collapsed="false">
      <c r="A72" s="1" t="s">
        <v>91</v>
      </c>
      <c r="B72" s="7" t="n">
        <v>46901</v>
      </c>
      <c r="C72" s="6" t="n">
        <f aca="false">G71</f>
        <v>2172800.25070887</v>
      </c>
      <c r="D72" s="6" t="n">
        <f aca="false">C72*((1+01_Lease_Master!$P$11)^((B72-B71)/365)-1)</f>
        <v>14618.0234730279</v>
      </c>
      <c r="E72" s="6" t="n">
        <f aca="false">SUMIFS(02_Payment_Schedule!E:E,02_Payment_Schedule!A:A,A72,02_Payment_Schedule!D:D,B72)</f>
        <v>82400</v>
      </c>
      <c r="F72" s="6" t="n">
        <f aca="false">MAX(0,E72-D72)</f>
        <v>67781.9765269721</v>
      </c>
      <c r="G72" s="6" t="n">
        <f aca="false">MAX(0,C72+D72-E72)</f>
        <v>2105018.2741819</v>
      </c>
      <c r="H72" s="1" t="str">
        <f aca="false">IF(AND(B72&gt;04_Lease_Liability!C$59,B72&lt;=04_Lease_Liability!C$59+365),"YES","NO")</f>
        <v>NO</v>
      </c>
      <c r="I72" s="1" t="str">
        <f aca="false">IF(ABS(C72+D72-E72-G72)&lt;=0.01,"PASS","CHECK")</f>
        <v>PASS</v>
      </c>
    </row>
    <row r="73" customFormat="false" ht="15" hidden="false" customHeight="true" outlineLevel="0" collapsed="false">
      <c r="A73" s="1" t="s">
        <v>91</v>
      </c>
      <c r="B73" s="7" t="n">
        <v>46932</v>
      </c>
      <c r="C73" s="6" t="n">
        <f aca="false">G72</f>
        <v>2105018.2741819</v>
      </c>
      <c r="D73" s="6" t="n">
        <f aca="false">C73*((1+01_Lease_Master!$P$11)^((B73-B72)/365)-1)</f>
        <v>14635.7084905512</v>
      </c>
      <c r="E73" s="6" t="n">
        <f aca="false">SUMIFS(02_Payment_Schedule!E:E,02_Payment_Schedule!A:A,A73,02_Payment_Schedule!D:D,B73)</f>
        <v>82400</v>
      </c>
      <c r="F73" s="6" t="n">
        <f aca="false">MAX(0,E73-D73)</f>
        <v>67764.2915094488</v>
      </c>
      <c r="G73" s="6" t="n">
        <f aca="false">MAX(0,C73+D73-E73)</f>
        <v>2037253.98267245</v>
      </c>
      <c r="H73" s="1" t="str">
        <f aca="false">IF(AND(B73&gt;04_Lease_Liability!C$59,B73&lt;=04_Lease_Liability!C$59+365),"YES","NO")</f>
        <v>NO</v>
      </c>
      <c r="I73" s="1" t="str">
        <f aca="false">IF(ABS(C73+D73-E73-G73)&lt;=0.01,"PASS","CHECK")</f>
        <v>PASS</v>
      </c>
    </row>
    <row r="74" customFormat="false" ht="15" hidden="false" customHeight="true" outlineLevel="0" collapsed="false">
      <c r="A74" s="1" t="s">
        <v>91</v>
      </c>
      <c r="B74" s="7" t="n">
        <v>46962</v>
      </c>
      <c r="C74" s="6" t="n">
        <f aca="false">G73</f>
        <v>2037253.98267245</v>
      </c>
      <c r="D74" s="6" t="n">
        <f aca="false">C74*((1+01_Lease_Master!$P$11)^((B74-B73)/365)-1)</f>
        <v>13706.1041526986</v>
      </c>
      <c r="E74" s="6" t="n">
        <f aca="false">SUMIFS(02_Payment_Schedule!E:E,02_Payment_Schedule!A:A,A74,02_Payment_Schedule!D:D,B74)</f>
        <v>84872</v>
      </c>
      <c r="F74" s="6" t="n">
        <f aca="false">MAX(0,E74-D74)</f>
        <v>71165.8958473014</v>
      </c>
      <c r="G74" s="6" t="n">
        <f aca="false">MAX(0,C74+D74-E74)</f>
        <v>1966088.08682515</v>
      </c>
      <c r="H74" s="1" t="str">
        <f aca="false">IF(AND(B74&gt;04_Lease_Liability!C$59,B74&lt;=04_Lease_Liability!C$59+365),"YES","NO")</f>
        <v>NO</v>
      </c>
      <c r="I74" s="1" t="str">
        <f aca="false">IF(ABS(C74+D74-E74-G74)&lt;=0.01,"PASS","CHECK")</f>
        <v>PASS</v>
      </c>
    </row>
    <row r="75" customFormat="false" ht="15" hidden="false" customHeight="true" outlineLevel="0" collapsed="false">
      <c r="A75" s="1" t="s">
        <v>91</v>
      </c>
      <c r="B75" s="7" t="n">
        <v>46993</v>
      </c>
      <c r="C75" s="6" t="n">
        <f aca="false">G74</f>
        <v>1966088.08682515</v>
      </c>
      <c r="D75" s="6" t="n">
        <f aca="false">C75*((1+01_Lease_Master!$P$11)^((B75-B74)/365)-1)</f>
        <v>13669.7588132349</v>
      </c>
      <c r="E75" s="6" t="n">
        <f aca="false">SUMIFS(02_Payment_Schedule!E:E,02_Payment_Schedule!A:A,A75,02_Payment_Schedule!D:D,B75)</f>
        <v>84872</v>
      </c>
      <c r="F75" s="6" t="n">
        <f aca="false">MAX(0,E75-D75)</f>
        <v>71202.2411867651</v>
      </c>
      <c r="G75" s="6" t="n">
        <f aca="false">MAX(0,C75+D75-E75)</f>
        <v>1894885.84563839</v>
      </c>
      <c r="H75" s="1" t="str">
        <f aca="false">IF(AND(B75&gt;04_Lease_Liability!C$59,B75&lt;=04_Lease_Liability!C$59+365),"YES","NO")</f>
        <v>NO</v>
      </c>
      <c r="I75" s="1" t="str">
        <f aca="false">IF(ABS(C75+D75-E75-G75)&lt;=0.01,"PASS","CHECK")</f>
        <v>PASS</v>
      </c>
    </row>
    <row r="76" customFormat="false" ht="15" hidden="false" customHeight="true" outlineLevel="0" collapsed="false">
      <c r="A76" s="1" t="s">
        <v>91</v>
      </c>
      <c r="B76" s="7" t="n">
        <v>47024</v>
      </c>
      <c r="C76" s="6" t="n">
        <f aca="false">G75</f>
        <v>1894885.84563839</v>
      </c>
      <c r="D76" s="6" t="n">
        <f aca="false">C76*((1+01_Lease_Master!$P$11)^((B76-B75)/365)-1)</f>
        <v>13174.7059870125</v>
      </c>
      <c r="E76" s="6" t="n">
        <f aca="false">SUMIFS(02_Payment_Schedule!E:E,02_Payment_Schedule!A:A,A76,02_Payment_Schedule!D:D,B76)</f>
        <v>84872</v>
      </c>
      <c r="F76" s="6" t="n">
        <f aca="false">MAX(0,E76-D76)</f>
        <v>71697.2940129875</v>
      </c>
      <c r="G76" s="6" t="n">
        <f aca="false">MAX(0,C76+D76-E76)</f>
        <v>1823188.5516254</v>
      </c>
      <c r="H76" s="1" t="str">
        <f aca="false">IF(AND(B76&gt;04_Lease_Liability!C$59,B76&lt;=04_Lease_Liability!C$59+365),"YES","NO")</f>
        <v>NO</v>
      </c>
      <c r="I76" s="1" t="str">
        <f aca="false">IF(ABS(C76+D76-E76-G76)&lt;=0.01,"PASS","CHECK")</f>
        <v>PASS</v>
      </c>
    </row>
    <row r="77" customFormat="false" ht="15" hidden="false" customHeight="true" outlineLevel="0" collapsed="false">
      <c r="A77" s="1" t="s">
        <v>91</v>
      </c>
      <c r="B77" s="7" t="n">
        <v>47054</v>
      </c>
      <c r="C77" s="6" t="n">
        <f aca="false">G76</f>
        <v>1823188.5516254</v>
      </c>
      <c r="D77" s="6" t="n">
        <f aca="false">C77*((1+01_Lease_Master!$P$11)^((B77-B76)/365)-1)</f>
        <v>12265.9287409051</v>
      </c>
      <c r="E77" s="6" t="n">
        <f aca="false">SUMIFS(02_Payment_Schedule!E:E,02_Payment_Schedule!A:A,A77,02_Payment_Schedule!D:D,B77)</f>
        <v>84872</v>
      </c>
      <c r="F77" s="6" t="n">
        <f aca="false">MAX(0,E77-D77)</f>
        <v>72606.0712590949</v>
      </c>
      <c r="G77" s="6" t="n">
        <f aca="false">MAX(0,C77+D77-E77)</f>
        <v>1750582.4803663</v>
      </c>
      <c r="H77" s="1" t="str">
        <f aca="false">IF(AND(B77&gt;04_Lease_Liability!C$59,B77&lt;=04_Lease_Liability!C$59+365),"YES","NO")</f>
        <v>NO</v>
      </c>
      <c r="I77" s="1" t="str">
        <f aca="false">IF(ABS(C77+D77-E77-G77)&lt;=0.01,"PASS","CHECK")</f>
        <v>PASS</v>
      </c>
    </row>
    <row r="78" customFormat="false" ht="15" hidden="false" customHeight="true" outlineLevel="0" collapsed="false">
      <c r="A78" s="1" t="s">
        <v>91</v>
      </c>
      <c r="B78" s="7" t="n">
        <v>47085</v>
      </c>
      <c r="C78" s="6" t="n">
        <f aca="false">G77</f>
        <v>1750582.4803663</v>
      </c>
      <c r="D78" s="6" t="n">
        <f aca="false">C78*((1+01_Lease_Master!$P$11)^((B78-B77)/365)-1)</f>
        <v>12171.3978379902</v>
      </c>
      <c r="E78" s="6" t="n">
        <f aca="false">SUMIFS(02_Payment_Schedule!E:E,02_Payment_Schedule!A:A,A78,02_Payment_Schedule!D:D,B78)</f>
        <v>84872</v>
      </c>
      <c r="F78" s="6" t="n">
        <f aca="false">MAX(0,E78-D78)</f>
        <v>72700.6021620099</v>
      </c>
      <c r="G78" s="6" t="n">
        <f aca="false">MAX(0,C78+D78-E78)</f>
        <v>1677881.87820429</v>
      </c>
      <c r="H78" s="1" t="str">
        <f aca="false">IF(AND(B78&gt;04_Lease_Liability!C$59,B78&lt;=04_Lease_Liability!C$59+365),"YES","NO")</f>
        <v>NO</v>
      </c>
      <c r="I78" s="1" t="str">
        <f aca="false">IF(ABS(C78+D78-E78-G78)&lt;=0.01,"PASS","CHECK")</f>
        <v>PASS</v>
      </c>
    </row>
    <row r="79" customFormat="false" ht="15" hidden="false" customHeight="true" outlineLevel="0" collapsed="false">
      <c r="A79" s="1" t="s">
        <v>91</v>
      </c>
      <c r="B79" s="7" t="n">
        <v>47115</v>
      </c>
      <c r="C79" s="6" t="n">
        <f aca="false">G78</f>
        <v>1677881.87820429</v>
      </c>
      <c r="D79" s="6" t="n">
        <f aca="false">C79*((1+01_Lease_Master!$P$11)^((B79-B78)/365)-1)</f>
        <v>11288.3440033462</v>
      </c>
      <c r="E79" s="6" t="n">
        <f aca="false">SUMIFS(02_Payment_Schedule!E:E,02_Payment_Schedule!A:A,A79,02_Payment_Schedule!D:D,B79)</f>
        <v>84872</v>
      </c>
      <c r="F79" s="6" t="n">
        <f aca="false">MAX(0,E79-D79)</f>
        <v>73583.6559966538</v>
      </c>
      <c r="G79" s="6" t="n">
        <f aca="false">MAX(0,C79+D79-E79)</f>
        <v>1604298.22220764</v>
      </c>
      <c r="H79" s="1" t="str">
        <f aca="false">IF(AND(B79&gt;04_Lease_Liability!C$59,B79&lt;=04_Lease_Liability!C$59+365),"YES","NO")</f>
        <v>NO</v>
      </c>
      <c r="I79" s="1" t="str">
        <f aca="false">IF(ABS(C79+D79-E79-G79)&lt;=0.01,"PASS","CHECK")</f>
        <v>PASS</v>
      </c>
    </row>
    <row r="80" customFormat="false" ht="15" hidden="false" customHeight="true" outlineLevel="0" collapsed="false">
      <c r="A80" s="1" t="s">
        <v>91</v>
      </c>
      <c r="B80" s="7" t="n">
        <v>47146</v>
      </c>
      <c r="C80" s="6" t="n">
        <f aca="false">G79</f>
        <v>1604298.22220764</v>
      </c>
      <c r="D80" s="6" t="n">
        <f aca="false">C80*((1+01_Lease_Master!$P$11)^((B80-B79)/365)-1)</f>
        <v>11154.3169957828</v>
      </c>
      <c r="E80" s="6" t="n">
        <f aca="false">SUMIFS(02_Payment_Schedule!E:E,02_Payment_Schedule!A:A,A80,02_Payment_Schedule!D:D,B80)</f>
        <v>84872</v>
      </c>
      <c r="F80" s="6" t="n">
        <f aca="false">MAX(0,E80-D80)</f>
        <v>73717.6830042172</v>
      </c>
      <c r="G80" s="6" t="n">
        <f aca="false">MAX(0,C80+D80-E80)</f>
        <v>1530580.53920342</v>
      </c>
      <c r="H80" s="1" t="str">
        <f aca="false">IF(AND(B80&gt;04_Lease_Liability!C$59,B80&lt;=04_Lease_Liability!C$59+365),"YES","NO")</f>
        <v>NO</v>
      </c>
      <c r="I80" s="1" t="str">
        <f aca="false">IF(ABS(C80+D80-E80-G80)&lt;=0.01,"PASS","CHECK")</f>
        <v>PASS</v>
      </c>
    </row>
    <row r="81" customFormat="false" ht="15" hidden="false" customHeight="true" outlineLevel="0" collapsed="false">
      <c r="A81" s="1" t="s">
        <v>91</v>
      </c>
      <c r="B81" s="7" t="n">
        <v>47177</v>
      </c>
      <c r="C81" s="6" t="n">
        <f aca="false">G80</f>
        <v>1530580.53920342</v>
      </c>
      <c r="D81" s="6" t="n">
        <f aca="false">C81*((1+01_Lease_Master!$P$11)^((B81-B80)/365)-1)</f>
        <v>10641.7748804571</v>
      </c>
      <c r="E81" s="6" t="n">
        <f aca="false">SUMIFS(02_Payment_Schedule!E:E,02_Payment_Schedule!A:A,A81,02_Payment_Schedule!D:D,B81)</f>
        <v>84872</v>
      </c>
      <c r="F81" s="6" t="n">
        <f aca="false">MAX(0,E81-D81)</f>
        <v>74230.2251195429</v>
      </c>
      <c r="G81" s="6" t="n">
        <f aca="false">MAX(0,C81+D81-E81)</f>
        <v>1456350.31408388</v>
      </c>
      <c r="H81" s="1" t="str">
        <f aca="false">IF(AND(B81&gt;04_Lease_Liability!C$59,B81&lt;=04_Lease_Liability!C$59+365),"YES","NO")</f>
        <v>NO</v>
      </c>
      <c r="I81" s="1" t="str">
        <f aca="false">IF(ABS(C81+D81-E81-G81)&lt;=0.01,"PASS","CHECK")</f>
        <v>PASS</v>
      </c>
    </row>
    <row r="82" customFormat="false" ht="15" hidden="false" customHeight="true" outlineLevel="0" collapsed="false">
      <c r="A82" s="1" t="s">
        <v>91</v>
      </c>
      <c r="B82" s="7" t="n">
        <v>47205</v>
      </c>
      <c r="C82" s="6" t="n">
        <f aca="false">G81</f>
        <v>1456350.31408388</v>
      </c>
      <c r="D82" s="6" t="n">
        <f aca="false">C82*((1+01_Lease_Master!$P$11)^((B82-B81)/365)-1)</f>
        <v>9142.69664290142</v>
      </c>
      <c r="E82" s="6" t="n">
        <f aca="false">SUMIFS(02_Payment_Schedule!E:E,02_Payment_Schedule!A:A,A82,02_Payment_Schedule!D:D,B82)</f>
        <v>84872</v>
      </c>
      <c r="F82" s="6" t="n">
        <f aca="false">MAX(0,E82-D82)</f>
        <v>75729.3033570986</v>
      </c>
      <c r="G82" s="6" t="n">
        <f aca="false">MAX(0,C82+D82-E82)</f>
        <v>1380621.01072678</v>
      </c>
      <c r="H82" s="1" t="str">
        <f aca="false">IF(AND(B82&gt;04_Lease_Liability!C$59,B82&lt;=04_Lease_Liability!C$59+365),"YES","NO")</f>
        <v>NO</v>
      </c>
      <c r="I82" s="1" t="str">
        <f aca="false">IF(ABS(C82+D82-E82-G82)&lt;=0.01,"PASS","CHECK")</f>
        <v>PASS</v>
      </c>
    </row>
    <row r="83" customFormat="false" ht="15" hidden="false" customHeight="true" outlineLevel="0" collapsed="false">
      <c r="A83" s="1" t="s">
        <v>91</v>
      </c>
      <c r="B83" s="7" t="n">
        <v>47236</v>
      </c>
      <c r="C83" s="6" t="n">
        <f aca="false">G82</f>
        <v>1380621.01072678</v>
      </c>
      <c r="D83" s="6" t="n">
        <f aca="false">C83*((1+01_Lease_Master!$P$11)^((B83-B82)/365)-1)</f>
        <v>9599.14072802073</v>
      </c>
      <c r="E83" s="6" t="n">
        <f aca="false">SUMIFS(02_Payment_Schedule!E:E,02_Payment_Schedule!A:A,A83,02_Payment_Schedule!D:D,B83)</f>
        <v>84872</v>
      </c>
      <c r="F83" s="6" t="n">
        <f aca="false">MAX(0,E83-D83)</f>
        <v>75272.8592719793</v>
      </c>
      <c r="G83" s="6" t="n">
        <f aca="false">MAX(0,C83+D83-E83)</f>
        <v>1305348.1514548</v>
      </c>
      <c r="H83" s="1" t="str">
        <f aca="false">IF(AND(B83&gt;04_Lease_Liability!C$59,B83&lt;=04_Lease_Liability!C$59+365),"YES","NO")</f>
        <v>NO</v>
      </c>
      <c r="I83" s="1" t="str">
        <f aca="false">IF(ABS(C83+D83-E83-G83)&lt;=0.01,"PASS","CHECK")</f>
        <v>PASS</v>
      </c>
    </row>
    <row r="84" customFormat="false" ht="15" hidden="false" customHeight="true" outlineLevel="0" collapsed="false">
      <c r="A84" s="1" t="s">
        <v>91</v>
      </c>
      <c r="B84" s="7" t="n">
        <v>47266</v>
      </c>
      <c r="C84" s="6" t="n">
        <f aca="false">G83</f>
        <v>1305348.1514548</v>
      </c>
      <c r="D84" s="6" t="n">
        <f aca="false">C84*((1+01_Lease_Master!$P$11)^((B84-B83)/365)-1)</f>
        <v>8782.03595209203</v>
      </c>
      <c r="E84" s="6" t="n">
        <f aca="false">SUMIFS(02_Payment_Schedule!E:E,02_Payment_Schedule!A:A,A84,02_Payment_Schedule!D:D,B84)</f>
        <v>84872</v>
      </c>
      <c r="F84" s="6" t="n">
        <f aca="false">MAX(0,E84-D84)</f>
        <v>76089.964047908</v>
      </c>
      <c r="G84" s="6" t="n">
        <f aca="false">MAX(0,C84+D84-E84)</f>
        <v>1229258.18740689</v>
      </c>
      <c r="H84" s="1" t="str">
        <f aca="false">IF(AND(B84&gt;04_Lease_Liability!C$59,B84&lt;=04_Lease_Liability!C$59+365),"YES","NO")</f>
        <v>NO</v>
      </c>
      <c r="I84" s="1" t="str">
        <f aca="false">IF(ABS(C84+D84-E84-G84)&lt;=0.01,"PASS","CHECK")</f>
        <v>PASS</v>
      </c>
    </row>
    <row r="85" customFormat="false" ht="15" hidden="false" customHeight="true" outlineLevel="0" collapsed="false">
      <c r="A85" s="1" t="s">
        <v>91</v>
      </c>
      <c r="B85" s="7" t="n">
        <v>47297</v>
      </c>
      <c r="C85" s="6" t="n">
        <f aca="false">G84</f>
        <v>1229258.18740689</v>
      </c>
      <c r="D85" s="6" t="n">
        <f aca="false">C85*((1+01_Lease_Master!$P$11)^((B85-B84)/365)-1)</f>
        <v>8546.74978890755</v>
      </c>
      <c r="E85" s="6" t="n">
        <f aca="false">SUMIFS(02_Payment_Schedule!E:E,02_Payment_Schedule!A:A,A85,02_Payment_Schedule!D:D,B85)</f>
        <v>84872</v>
      </c>
      <c r="F85" s="6" t="n">
        <f aca="false">MAX(0,E85-D85)</f>
        <v>76325.2502110925</v>
      </c>
      <c r="G85" s="6" t="n">
        <f aca="false">MAX(0,C85+D85-E85)</f>
        <v>1152932.9371958</v>
      </c>
      <c r="H85" s="1" t="str">
        <f aca="false">IF(AND(B85&gt;04_Lease_Liability!C$59,B85&lt;=04_Lease_Liability!C$59+365),"YES","NO")</f>
        <v>NO</v>
      </c>
      <c r="I85" s="1" t="str">
        <f aca="false">IF(ABS(C85+D85-E85-G85)&lt;=0.01,"PASS","CHECK")</f>
        <v>PASS</v>
      </c>
    </row>
    <row r="86" customFormat="false" ht="15" hidden="false" customHeight="true" outlineLevel="0" collapsed="false">
      <c r="A86" s="1" t="s">
        <v>91</v>
      </c>
      <c r="B86" s="7" t="n">
        <v>47327</v>
      </c>
      <c r="C86" s="6" t="n">
        <f aca="false">G85</f>
        <v>1152932.9371958</v>
      </c>
      <c r="D86" s="6" t="n">
        <f aca="false">C86*((1+01_Lease_Master!$P$11)^((B86-B85)/365)-1)</f>
        <v>7756.62683822721</v>
      </c>
      <c r="E86" s="6" t="n">
        <f aca="false">SUMIFS(02_Payment_Schedule!E:E,02_Payment_Schedule!A:A,A86,02_Payment_Schedule!D:D,B86)</f>
        <v>87418.16</v>
      </c>
      <c r="F86" s="6" t="n">
        <f aca="false">MAX(0,E86-D86)</f>
        <v>79661.5331617728</v>
      </c>
      <c r="G86" s="6" t="n">
        <f aca="false">MAX(0,C86+D86-E86)</f>
        <v>1073271.40403403</v>
      </c>
      <c r="H86" s="1" t="str">
        <f aca="false">IF(AND(B86&gt;04_Lease_Liability!C$59,B86&lt;=04_Lease_Liability!C$59+365),"YES","NO")</f>
        <v>NO</v>
      </c>
      <c r="I86" s="1" t="str">
        <f aca="false">IF(ABS(C86+D86-E86-G86)&lt;=0.01,"PASS","CHECK")</f>
        <v>PASS</v>
      </c>
    </row>
    <row r="87" customFormat="false" ht="15" hidden="false" customHeight="true" outlineLevel="0" collapsed="false">
      <c r="A87" s="1" t="s">
        <v>91</v>
      </c>
      <c r="B87" s="7" t="n">
        <v>47358</v>
      </c>
      <c r="C87" s="6" t="n">
        <f aca="false">G86</f>
        <v>1073271.40403403</v>
      </c>
      <c r="D87" s="6" t="n">
        <f aca="false">C87*((1+01_Lease_Master!$P$11)^((B87-B86)/365)-1)</f>
        <v>7462.20951777319</v>
      </c>
      <c r="E87" s="6" t="n">
        <f aca="false">SUMIFS(02_Payment_Schedule!E:E,02_Payment_Schedule!A:A,A87,02_Payment_Schedule!D:D,B87)</f>
        <v>87418.16</v>
      </c>
      <c r="F87" s="6" t="n">
        <f aca="false">MAX(0,E87-D87)</f>
        <v>79955.9504822268</v>
      </c>
      <c r="G87" s="6" t="n">
        <f aca="false">MAX(0,C87+D87-E87)</f>
        <v>993315.453551801</v>
      </c>
      <c r="H87" s="1" t="str">
        <f aca="false">IF(AND(B87&gt;04_Lease_Liability!C$59,B87&lt;=04_Lease_Liability!C$59+365),"YES","NO")</f>
        <v>NO</v>
      </c>
      <c r="I87" s="1" t="str">
        <f aca="false">IF(ABS(C87+D87-E87-G87)&lt;=0.01,"PASS","CHECK")</f>
        <v>PASS</v>
      </c>
    </row>
    <row r="88" customFormat="false" ht="15" hidden="false" customHeight="true" outlineLevel="0" collapsed="false">
      <c r="A88" s="1" t="s">
        <v>91</v>
      </c>
      <c r="B88" s="7" t="n">
        <v>47389</v>
      </c>
      <c r="C88" s="6" t="n">
        <f aca="false">G87</f>
        <v>993315.453551801</v>
      </c>
      <c r="D88" s="6" t="n">
        <f aca="false">C88*((1+01_Lease_Master!$P$11)^((B88-B87)/365)-1)</f>
        <v>6906.29416174256</v>
      </c>
      <c r="E88" s="6" t="n">
        <f aca="false">SUMIFS(02_Payment_Schedule!E:E,02_Payment_Schedule!A:A,A88,02_Payment_Schedule!D:D,B88)</f>
        <v>87418.16</v>
      </c>
      <c r="F88" s="6" t="n">
        <f aca="false">MAX(0,E88-D88)</f>
        <v>80511.8658382575</v>
      </c>
      <c r="G88" s="6" t="n">
        <f aca="false">MAX(0,C88+D88-E88)</f>
        <v>912803.587713544</v>
      </c>
      <c r="H88" s="1" t="str">
        <f aca="false">IF(AND(B88&gt;04_Lease_Liability!C$59,B88&lt;=04_Lease_Liability!C$59+365),"YES","NO")</f>
        <v>NO</v>
      </c>
      <c r="I88" s="1" t="str">
        <f aca="false">IF(ABS(C88+D88-E88-G88)&lt;=0.01,"PASS","CHECK")</f>
        <v>PASS</v>
      </c>
    </row>
    <row r="89" customFormat="false" ht="15" hidden="false" customHeight="true" outlineLevel="0" collapsed="false">
      <c r="A89" s="1" t="s">
        <v>91</v>
      </c>
      <c r="B89" s="7" t="n">
        <v>47419</v>
      </c>
      <c r="C89" s="6" t="n">
        <f aca="false">G88</f>
        <v>912803.587713544</v>
      </c>
      <c r="D89" s="6" t="n">
        <f aca="false">C89*((1+01_Lease_Master!$P$11)^((B89-B88)/365)-1)</f>
        <v>6141.10029999648</v>
      </c>
      <c r="E89" s="6" t="n">
        <f aca="false">SUMIFS(02_Payment_Schedule!E:E,02_Payment_Schedule!A:A,A89,02_Payment_Schedule!D:D,B89)</f>
        <v>87418.16</v>
      </c>
      <c r="F89" s="6" t="n">
        <f aca="false">MAX(0,E89-D89)</f>
        <v>81277.0597000035</v>
      </c>
      <c r="G89" s="6" t="n">
        <f aca="false">MAX(0,C89+D89-E89)</f>
        <v>831526.52801354</v>
      </c>
      <c r="H89" s="1" t="str">
        <f aca="false">IF(AND(B89&gt;04_Lease_Liability!C$59,B89&lt;=04_Lease_Liability!C$59+365),"YES","NO")</f>
        <v>NO</v>
      </c>
      <c r="I89" s="1" t="str">
        <f aca="false">IF(ABS(C89+D89-E89-G89)&lt;=0.01,"PASS","CHECK")</f>
        <v>PASS</v>
      </c>
    </row>
    <row r="90" customFormat="false" ht="15" hidden="false" customHeight="true" outlineLevel="0" collapsed="false">
      <c r="A90" s="1" t="s">
        <v>91</v>
      </c>
      <c r="B90" s="7" t="n">
        <v>47450</v>
      </c>
      <c r="C90" s="6" t="n">
        <f aca="false">G89</f>
        <v>831526.52801354</v>
      </c>
      <c r="D90" s="6" t="n">
        <f aca="false">C90*((1+01_Lease_Master!$P$11)^((B90-B89)/365)-1)</f>
        <v>5781.41292901419</v>
      </c>
      <c r="E90" s="6" t="n">
        <f aca="false">SUMIFS(02_Payment_Schedule!E:E,02_Payment_Schedule!A:A,A90,02_Payment_Schedule!D:D,B90)</f>
        <v>87418.16</v>
      </c>
      <c r="F90" s="6" t="n">
        <f aca="false">MAX(0,E90-D90)</f>
        <v>81636.7470709858</v>
      </c>
      <c r="G90" s="6" t="n">
        <f aca="false">MAX(0,C90+D90-E90)</f>
        <v>749889.780942554</v>
      </c>
      <c r="H90" s="1" t="str">
        <f aca="false">IF(AND(B90&gt;04_Lease_Liability!C$59,B90&lt;=04_Lease_Liability!C$59+365),"YES","NO")</f>
        <v>NO</v>
      </c>
      <c r="I90" s="1" t="str">
        <f aca="false">IF(ABS(C90+D90-E90-G90)&lt;=0.01,"PASS","CHECK")</f>
        <v>PASS</v>
      </c>
    </row>
    <row r="91" customFormat="false" ht="15" hidden="false" customHeight="true" outlineLevel="0" collapsed="false">
      <c r="A91" s="1" t="s">
        <v>91</v>
      </c>
      <c r="B91" s="7" t="n">
        <v>47480</v>
      </c>
      <c r="C91" s="6" t="n">
        <f aca="false">G90</f>
        <v>749889.780942554</v>
      </c>
      <c r="D91" s="6" t="n">
        <f aca="false">C91*((1+01_Lease_Master!$P$11)^((B91-B90)/365)-1)</f>
        <v>5045.0594418082</v>
      </c>
      <c r="E91" s="6" t="n">
        <f aca="false">SUMIFS(02_Payment_Schedule!E:E,02_Payment_Schedule!A:A,A91,02_Payment_Schedule!D:D,B91)</f>
        <v>87418.16</v>
      </c>
      <c r="F91" s="6" t="n">
        <f aca="false">MAX(0,E91-D91)</f>
        <v>82373.1005581918</v>
      </c>
      <c r="G91" s="6" t="n">
        <f aca="false">MAX(0,C91+D91-E91)</f>
        <v>667516.680384362</v>
      </c>
      <c r="H91" s="1" t="str">
        <f aca="false">IF(AND(B91&gt;04_Lease_Liability!C$59,B91&lt;=04_Lease_Liability!C$59+365),"YES","NO")</f>
        <v>NO</v>
      </c>
      <c r="I91" s="1" t="str">
        <f aca="false">IF(ABS(C91+D91-E91-G91)&lt;=0.01,"PASS","CHECK")</f>
        <v>PASS</v>
      </c>
    </row>
    <row r="92" customFormat="false" ht="15" hidden="false" customHeight="true" outlineLevel="0" collapsed="false">
      <c r="A92" s="1" t="s">
        <v>91</v>
      </c>
      <c r="B92" s="7" t="n">
        <v>47511</v>
      </c>
      <c r="C92" s="6" t="n">
        <f aca="false">G91</f>
        <v>667516.680384362</v>
      </c>
      <c r="D92" s="6" t="n">
        <f aca="false">C92*((1+01_Lease_Master!$P$11)^((B92-B91)/365)-1)</f>
        <v>4641.0901351832</v>
      </c>
      <c r="E92" s="6" t="n">
        <f aca="false">SUMIFS(02_Payment_Schedule!E:E,02_Payment_Schedule!A:A,A92,02_Payment_Schedule!D:D,B92)</f>
        <v>87418.16</v>
      </c>
      <c r="F92" s="6" t="n">
        <f aca="false">MAX(0,E92-D92)</f>
        <v>82777.0698648168</v>
      </c>
      <c r="G92" s="6" t="n">
        <f aca="false">MAX(0,C92+D92-E92)</f>
        <v>584739.610519545</v>
      </c>
      <c r="H92" s="1" t="str">
        <f aca="false">IF(AND(B92&gt;04_Lease_Liability!C$59,B92&lt;=04_Lease_Liability!C$59+365),"YES","NO")</f>
        <v>NO</v>
      </c>
      <c r="I92" s="1" t="str">
        <f aca="false">IF(ABS(C92+D92-E92-G92)&lt;=0.01,"PASS","CHECK")</f>
        <v>PASS</v>
      </c>
    </row>
    <row r="93" customFormat="false" ht="15" hidden="false" customHeight="true" outlineLevel="0" collapsed="false">
      <c r="A93" s="1" t="s">
        <v>91</v>
      </c>
      <c r="B93" s="7" t="n">
        <v>47542</v>
      </c>
      <c r="C93" s="6" t="n">
        <f aca="false">G92</f>
        <v>584739.610519545</v>
      </c>
      <c r="D93" s="6" t="n">
        <f aca="false">C93*((1+01_Lease_Master!$P$11)^((B93-B92)/365)-1)</f>
        <v>4065.56018415972</v>
      </c>
      <c r="E93" s="6" t="n">
        <f aca="false">SUMIFS(02_Payment_Schedule!E:E,02_Payment_Schedule!A:A,A93,02_Payment_Schedule!D:D,B93)</f>
        <v>87418.16</v>
      </c>
      <c r="F93" s="6" t="n">
        <f aca="false">MAX(0,E93-D93)</f>
        <v>83352.5998158403</v>
      </c>
      <c r="G93" s="6" t="n">
        <f aca="false">MAX(0,C93+D93-E93)</f>
        <v>501387.010703705</v>
      </c>
      <c r="H93" s="1" t="str">
        <f aca="false">IF(AND(B93&gt;04_Lease_Liability!C$59,B93&lt;=04_Lease_Liability!C$59+365),"YES","NO")</f>
        <v>NO</v>
      </c>
      <c r="I93" s="1" t="str">
        <f aca="false">IF(ABS(C93+D93-E93-G93)&lt;=0.01,"PASS","CHECK")</f>
        <v>PASS</v>
      </c>
    </row>
    <row r="94" customFormat="false" ht="15" hidden="false" customHeight="true" outlineLevel="0" collapsed="false">
      <c r="A94" s="1" t="s">
        <v>91</v>
      </c>
      <c r="B94" s="7" t="n">
        <v>47570</v>
      </c>
      <c r="C94" s="6" t="n">
        <f aca="false">G93</f>
        <v>501387.010703705</v>
      </c>
      <c r="D94" s="6" t="n">
        <f aca="false">C94*((1+01_Lease_Master!$P$11)^((B94-B93)/365)-1)</f>
        <v>3147.61448205457</v>
      </c>
      <c r="E94" s="6" t="n">
        <f aca="false">SUMIFS(02_Payment_Schedule!E:E,02_Payment_Schedule!A:A,A94,02_Payment_Schedule!D:D,B94)</f>
        <v>87418.16</v>
      </c>
      <c r="F94" s="6" t="n">
        <f aca="false">MAX(0,E94-D94)</f>
        <v>84270.5455179454</v>
      </c>
      <c r="G94" s="6" t="n">
        <f aca="false">MAX(0,C94+D94-E94)</f>
        <v>417116.46518576</v>
      </c>
      <c r="H94" s="1" t="str">
        <f aca="false">IF(AND(B94&gt;04_Lease_Liability!C$59,B94&lt;=04_Lease_Liability!C$59+365),"YES","NO")</f>
        <v>NO</v>
      </c>
      <c r="I94" s="1" t="str">
        <f aca="false">IF(ABS(C94+D94-E94-G94)&lt;=0.01,"PASS","CHECK")</f>
        <v>PASS</v>
      </c>
    </row>
    <row r="95" customFormat="false" ht="15" hidden="false" customHeight="true" outlineLevel="0" collapsed="false">
      <c r="A95" s="1" t="s">
        <v>91</v>
      </c>
      <c r="B95" s="7" t="n">
        <v>47601</v>
      </c>
      <c r="C95" s="6" t="n">
        <f aca="false">G94</f>
        <v>417116.46518576</v>
      </c>
      <c r="D95" s="6" t="n">
        <f aca="false">C95*((1+01_Lease_Master!$P$11)^((B95-B94)/365)-1)</f>
        <v>2900.11496144399</v>
      </c>
      <c r="E95" s="6" t="n">
        <f aca="false">SUMIFS(02_Payment_Schedule!E:E,02_Payment_Schedule!A:A,A95,02_Payment_Schedule!D:D,B95)</f>
        <v>87418.16</v>
      </c>
      <c r="F95" s="6" t="n">
        <f aca="false">MAX(0,E95-D95)</f>
        <v>84518.045038556</v>
      </c>
      <c r="G95" s="6" t="n">
        <f aca="false">MAX(0,C95+D95-E95)</f>
        <v>332598.420147204</v>
      </c>
      <c r="H95" s="1" t="str">
        <f aca="false">IF(AND(B95&gt;04_Lease_Liability!C$59,B95&lt;=04_Lease_Liability!C$59+365),"YES","NO")</f>
        <v>NO</v>
      </c>
      <c r="I95" s="1" t="str">
        <f aca="false">IF(ABS(C95+D95-E95-G95)&lt;=0.01,"PASS","CHECK")</f>
        <v>PASS</v>
      </c>
    </row>
    <row r="96" customFormat="false" ht="15" hidden="false" customHeight="true" outlineLevel="0" collapsed="false">
      <c r="A96" s="1" t="s">
        <v>91</v>
      </c>
      <c r="B96" s="7" t="n">
        <v>47631</v>
      </c>
      <c r="C96" s="6" t="n">
        <f aca="false">G95</f>
        <v>332598.420147204</v>
      </c>
      <c r="D96" s="6" t="n">
        <f aca="false">C96*((1+01_Lease_Master!$P$11)^((B96-B95)/365)-1)</f>
        <v>2237.63390639228</v>
      </c>
      <c r="E96" s="6" t="n">
        <f aca="false">SUMIFS(02_Payment_Schedule!E:E,02_Payment_Schedule!A:A,A96,02_Payment_Schedule!D:D,B96)</f>
        <v>87418.16</v>
      </c>
      <c r="F96" s="6" t="n">
        <f aca="false">MAX(0,E96-D96)</f>
        <v>85180.5260936077</v>
      </c>
      <c r="G96" s="6" t="n">
        <f aca="false">MAX(0,C96+D96-E96)</f>
        <v>247417.894053596</v>
      </c>
      <c r="H96" s="1" t="str">
        <f aca="false">IF(AND(B96&gt;04_Lease_Liability!C$59,B96&lt;=04_Lease_Liability!C$59+365),"YES","NO")</f>
        <v>NO</v>
      </c>
      <c r="I96" s="1" t="str">
        <f aca="false">IF(ABS(C96+D96-E96-G96)&lt;=0.01,"PASS","CHECK")</f>
        <v>PASS</v>
      </c>
    </row>
    <row r="97" customFormat="false" ht="15" hidden="false" customHeight="true" outlineLevel="0" collapsed="false">
      <c r="A97" s="1" t="s">
        <v>91</v>
      </c>
      <c r="B97" s="7" t="n">
        <v>47662</v>
      </c>
      <c r="C97" s="6" t="n">
        <f aca="false">G96</f>
        <v>247417.894053596</v>
      </c>
      <c r="D97" s="6" t="n">
        <f aca="false">C97*((1+01_Lease_Master!$P$11)^((B97-B96)/365)-1)</f>
        <v>1720.23977992393</v>
      </c>
      <c r="E97" s="6" t="n">
        <f aca="false">SUMIFS(02_Payment_Schedule!E:E,02_Payment_Schedule!A:A,A97,02_Payment_Schedule!D:D,B97)</f>
        <v>87418.16</v>
      </c>
      <c r="F97" s="6" t="n">
        <f aca="false">MAX(0,E97-D97)</f>
        <v>85697.9202200761</v>
      </c>
      <c r="G97" s="6" t="n">
        <f aca="false">MAX(0,C97+D97-E97)</f>
        <v>161719.97383352</v>
      </c>
      <c r="H97" s="1" t="str">
        <f aca="false">IF(AND(B97&gt;04_Lease_Liability!C$59,B97&lt;=04_Lease_Liability!C$59+365),"YES","NO")</f>
        <v>NO</v>
      </c>
      <c r="I97" s="1" t="str">
        <f aca="false">IF(ABS(C97+D97-E97-G97)&lt;=0.01,"PASS","CHECK")</f>
        <v>PASS</v>
      </c>
    </row>
    <row r="98" customFormat="false" ht="15" hidden="false" customHeight="true" outlineLevel="0" collapsed="false">
      <c r="A98" s="1" t="s">
        <v>94</v>
      </c>
      <c r="B98" s="7" t="n">
        <v>46296</v>
      </c>
      <c r="C98" s="6" t="n">
        <f aca="false">SUMIFS(04_Lease_Liability!H:H,04_Lease_Liability!A:A,A98,04_Lease_Liability!B:B,"REPORTING")</f>
        <v>1367279.13077384</v>
      </c>
      <c r="D98" s="6" t="n">
        <f aca="false">C98*((1+01_Lease_Master!$P$12)^((B98-04_Lease_Liability!C$64)/365)-1)</f>
        <v>11112.8195058003</v>
      </c>
      <c r="E98" s="6" t="n">
        <f aca="false">SUMIFS(02_Payment_Schedule!E:E,02_Payment_Schedule!A:A,A98,02_Payment_Schedule!D:D,B98)</f>
        <v>240000</v>
      </c>
      <c r="F98" s="6" t="n">
        <f aca="false">MAX(0,E98-D98)</f>
        <v>228887.1804942</v>
      </c>
      <c r="G98" s="6" t="n">
        <f aca="false">MAX(0,C98+D98-E98)</f>
        <v>1138391.95027964</v>
      </c>
      <c r="H98" s="1" t="str">
        <f aca="false">IF(AND(B98&gt;04_Lease_Liability!C$64,B98&lt;=04_Lease_Liability!C$64+365),"YES","NO")</f>
        <v>YES</v>
      </c>
      <c r="I98" s="1" t="str">
        <f aca="false">IF(ABS(C98+D98-E98-G98)&lt;=0.01,"PASS","CHECK")</f>
        <v>PASS</v>
      </c>
    </row>
    <row r="99" customFormat="false" ht="15" hidden="false" customHeight="true" outlineLevel="0" collapsed="false">
      <c r="A99" s="1" t="s">
        <v>94</v>
      </c>
      <c r="B99" s="7" t="n">
        <v>46478</v>
      </c>
      <c r="C99" s="6" t="n">
        <f aca="false">G98</f>
        <v>1138391.95027964</v>
      </c>
      <c r="D99" s="6" t="n">
        <f aca="false">C99*((1+01_Lease_Master!$P$12)^((B99-B98)/365)-1)</f>
        <v>55407.7249418325</v>
      </c>
      <c r="E99" s="6" t="n">
        <f aca="false">SUMIFS(02_Payment_Schedule!E:E,02_Payment_Schedule!A:A,A99,02_Payment_Schedule!D:D,B99)</f>
        <v>252000</v>
      </c>
      <c r="F99" s="6" t="n">
        <f aca="false">MAX(0,E99-D99)</f>
        <v>196592.275058168</v>
      </c>
      <c r="G99" s="6" t="n">
        <f aca="false">MAX(0,C99+D99-E99)</f>
        <v>941799.675221474</v>
      </c>
      <c r="H99" s="1" t="str">
        <f aca="false">IF(AND(B99&gt;04_Lease_Liability!C$64,B99&lt;=04_Lease_Liability!C$64+365),"YES","NO")</f>
        <v>YES</v>
      </c>
      <c r="I99" s="1" t="str">
        <f aca="false">IF(ABS(C99+D99-E99-G99)&lt;=0.01,"PASS","CHECK")</f>
        <v>PASS</v>
      </c>
    </row>
    <row r="100" customFormat="false" ht="15" hidden="false" customHeight="true" outlineLevel="0" collapsed="false">
      <c r="A100" s="1" t="s">
        <v>94</v>
      </c>
      <c r="B100" s="7" t="n">
        <v>46661</v>
      </c>
      <c r="C100" s="6" t="n">
        <f aca="false">G99</f>
        <v>941799.675221474</v>
      </c>
      <c r="D100" s="6" t="n">
        <f aca="false">C100*((1+01_Lease_Master!$P$12)^((B100-B99)/365)-1)</f>
        <v>46097.1306091393</v>
      </c>
      <c r="E100" s="6" t="n">
        <f aca="false">SUMIFS(02_Payment_Schedule!E:E,02_Payment_Schedule!A:A,A100,02_Payment_Schedule!D:D,B100)</f>
        <v>252000</v>
      </c>
      <c r="F100" s="6" t="n">
        <f aca="false">MAX(0,E100-D100)</f>
        <v>205902.869390861</v>
      </c>
      <c r="G100" s="6" t="n">
        <f aca="false">MAX(0,C100+D100-E100)</f>
        <v>735896.805830613</v>
      </c>
      <c r="H100" s="1" t="str">
        <f aca="false">IF(AND(B100&gt;04_Lease_Liability!C$64,B100&lt;=04_Lease_Liability!C$64+365),"YES","NO")</f>
        <v>NO</v>
      </c>
      <c r="I100" s="1" t="str">
        <f aca="false">IF(ABS(C100+D100-E100-G100)&lt;=0.01,"PASS","CHECK")</f>
        <v>PASS</v>
      </c>
    </row>
    <row r="101" customFormat="false" ht="15" hidden="false" customHeight="true" outlineLevel="0" collapsed="false">
      <c r="A101" s="1" t="s">
        <v>94</v>
      </c>
      <c r="B101" s="7" t="n">
        <v>46844</v>
      </c>
      <c r="C101" s="6" t="n">
        <f aca="false">G100</f>
        <v>735896.805830613</v>
      </c>
      <c r="D101" s="6" t="n">
        <f aca="false">C101*((1+01_Lease_Master!$P$12)^((B101-B100)/365)-1)</f>
        <v>36019.051679164</v>
      </c>
      <c r="E101" s="6" t="n">
        <f aca="false">SUMIFS(02_Payment_Schedule!E:E,02_Payment_Schedule!A:A,A101,02_Payment_Schedule!D:D,B101)</f>
        <v>264600</v>
      </c>
      <c r="F101" s="6" t="n">
        <f aca="false">MAX(0,E101-D101)</f>
        <v>228580.948320836</v>
      </c>
      <c r="G101" s="6" t="n">
        <f aca="false">MAX(0,C101+D101-E101)</f>
        <v>507315.857509777</v>
      </c>
      <c r="H101" s="1" t="str">
        <f aca="false">IF(AND(B101&gt;04_Lease_Liability!C$64,B101&lt;=04_Lease_Liability!C$64+365),"YES","NO")</f>
        <v>NO</v>
      </c>
      <c r="I101" s="1" t="str">
        <f aca="false">IF(ABS(C101+D101-E101-G101)&lt;=0.01,"PASS","CHECK")</f>
        <v>PASS</v>
      </c>
    </row>
    <row r="102" customFormat="false" ht="15" hidden="false" customHeight="true" outlineLevel="0" collapsed="false">
      <c r="A102" s="1" t="s">
        <v>94</v>
      </c>
      <c r="B102" s="7" t="n">
        <v>47027</v>
      </c>
      <c r="C102" s="6" t="n">
        <f aca="false">G101</f>
        <v>507315.857509777</v>
      </c>
      <c r="D102" s="6" t="n">
        <f aca="false">C102*((1+01_Lease_Master!$P$12)^((B102-B101)/365)-1)</f>
        <v>24830.9762245525</v>
      </c>
      <c r="E102" s="6" t="n">
        <f aca="false">SUMIFS(02_Payment_Schedule!E:E,02_Payment_Schedule!A:A,A102,02_Payment_Schedule!D:D,B102)</f>
        <v>264600</v>
      </c>
      <c r="F102" s="6" t="n">
        <f aca="false">MAX(0,E102-D102)</f>
        <v>239769.023775448</v>
      </c>
      <c r="G102" s="6" t="n">
        <f aca="false">MAX(0,C102+D102-E102)</f>
        <v>267546.83373433</v>
      </c>
      <c r="H102" s="1" t="str">
        <f aca="false">IF(AND(B102&gt;04_Lease_Liability!C$64,B102&lt;=04_Lease_Liability!C$64+365),"YES","NO")</f>
        <v>NO</v>
      </c>
      <c r="I102" s="1" t="str">
        <f aca="false">IF(ABS(C102+D102-E102-G102)&lt;=0.01,"PASS","CHECK")</f>
        <v>PASS</v>
      </c>
    </row>
    <row r="103" customFormat="false" ht="15" hidden="false" customHeight="true" outlineLevel="0" collapsed="false">
      <c r="A103" s="1" t="s">
        <v>94</v>
      </c>
      <c r="B103" s="7" t="n">
        <v>47209</v>
      </c>
      <c r="C103" s="6" t="n">
        <f aca="false">G102</f>
        <v>267546.83373433</v>
      </c>
      <c r="D103" s="6" t="n">
        <f aca="false">C103*((1+01_Lease_Master!$P$12)^((B103-B102)/365)-1)</f>
        <v>13022.0187949927</v>
      </c>
      <c r="E103" s="6" t="n">
        <f aca="false">SUMIFS(02_Payment_Schedule!E:E,02_Payment_Schedule!A:A,A103,02_Payment_Schedule!D:D,B103)</f>
        <v>277830</v>
      </c>
      <c r="F103" s="6" t="n">
        <f aca="false">MAX(0,E103-D103)</f>
        <v>264807.981205007</v>
      </c>
      <c r="G103" s="6" t="n">
        <f aca="false">MAX(0,C103+D103-E103)</f>
        <v>2738.85252932238</v>
      </c>
      <c r="H103" s="1" t="str">
        <f aca="false">IF(AND(B103&gt;04_Lease_Liability!C$64,B103&lt;=04_Lease_Liability!C$64+365),"YES","NO")</f>
        <v>NO</v>
      </c>
      <c r="I103" s="1" t="str">
        <f aca="false">IF(ABS(C103+D103-E103-G103)&lt;=0.01,"PASS","CHECK")</f>
        <v>PASS</v>
      </c>
    </row>
    <row r="104" customFormat="false" ht="15" hidden="false" customHeight="true" outlineLevel="0" collapsed="false">
      <c r="A104" s="1" t="s">
        <v>97</v>
      </c>
      <c r="B104" s="7" t="n">
        <v>46388</v>
      </c>
      <c r="C104" s="6" t="n">
        <f aca="false">SUMIFS(04_Lease_Liability!H:H,04_Lease_Liability!A:A,A104,04_Lease_Liability!B:B,"REPORTING")</f>
        <v>17535.3958939827</v>
      </c>
      <c r="D104" s="6" t="n">
        <f aca="false">C104*((1+01_Lease_Master!$P$13)^((B104-04_Lease_Liability!C$68)/365)-1)</f>
        <v>2696.61042006191</v>
      </c>
      <c r="E104" s="6" t="n">
        <f aca="false">SUMIFS(02_Payment_Schedule!E:E,02_Payment_Schedule!A:A,A104,02_Payment_Schedule!D:D,B104)</f>
        <v>18000</v>
      </c>
      <c r="F104" s="6" t="n">
        <f aca="false">MAX(0,E104-D104)</f>
        <v>15303.3895799381</v>
      </c>
      <c r="G104" s="6" t="n">
        <f aca="false">MAX(0,C104+D104-E104)</f>
        <v>2232.00631404456</v>
      </c>
      <c r="H104" s="1" t="str">
        <f aca="false">IF(AND(B104&gt;04_Lease_Liability!C$68,B104&lt;=04_Lease_Liability!C$68+365),"YES","NO")</f>
        <v>NO</v>
      </c>
      <c r="I104" s="1" t="str">
        <f aca="false">IF(ABS(C104+D104-E104-G104)&lt;=0.01,"PASS","CHECK")</f>
        <v>PASS</v>
      </c>
    </row>
    <row r="105" customFormat="false" ht="15" hidden="false" customHeight="true" outlineLevel="0" collapsed="false">
      <c r="A105" s="1" t="s">
        <v>101</v>
      </c>
      <c r="B105" s="7" t="n">
        <v>46296</v>
      </c>
      <c r="C105" s="6" t="n">
        <f aca="false">SUMIFS(04_Lease_Liability!H:H,04_Lease_Liability!A:A,A105,04_Lease_Liability!B:B,"REPORTING")</f>
        <v>3424773.50751022</v>
      </c>
      <c r="D105" s="6" t="n">
        <f aca="false">C105*((1+01_Lease_Master!$P$14)^((B105-04_Lease_Liability!C$84)/365)-1)</f>
        <v>265550.200355211</v>
      </c>
      <c r="E105" s="6" t="n">
        <f aca="false">SUMIFS(02_Payment_Schedule!E:E,02_Payment_Schedule!A:A,A105,02_Payment_Schedule!D:D,B105)</f>
        <v>115000</v>
      </c>
      <c r="F105" s="6" t="n">
        <f aca="false">MAX(0,E105-D105)</f>
        <v>0</v>
      </c>
      <c r="G105" s="6" t="n">
        <f aca="false">MAX(0,C105+D105-E105)</f>
        <v>3575323.70786543</v>
      </c>
      <c r="H105" s="1" t="str">
        <f aca="false">IF(AND(B105&gt;04_Lease_Liability!C$84,B105&lt;=04_Lease_Liability!C$84+365),"YES","NO")</f>
        <v>YES</v>
      </c>
      <c r="I105" s="1" t="str">
        <f aca="false">IF(ABS(C105+D105-E105-G105)&lt;=0.01,"PASS","CHECK")</f>
        <v>PASS</v>
      </c>
    </row>
    <row r="106" customFormat="false" ht="15" hidden="false" customHeight="true" outlineLevel="0" collapsed="false">
      <c r="A106" s="1" t="s">
        <v>101</v>
      </c>
      <c r="B106" s="7" t="n">
        <v>46327</v>
      </c>
      <c r="C106" s="6" t="n">
        <f aca="false">G105</f>
        <v>3575323.70786543</v>
      </c>
      <c r="D106" s="6" t="n">
        <f aca="false">C106*((1+01_Lease_Master!$P$14)^((B106-B105)/365)-1)</f>
        <v>30447.7138537203</v>
      </c>
      <c r="E106" s="6" t="n">
        <f aca="false">SUMIFS(02_Payment_Schedule!E:E,02_Payment_Schedule!A:A,A106,02_Payment_Schedule!D:D,B106)</f>
        <v>115000</v>
      </c>
      <c r="F106" s="6" t="n">
        <f aca="false">MAX(0,E106-D106)</f>
        <v>84552.2861462797</v>
      </c>
      <c r="G106" s="6" t="n">
        <f aca="false">MAX(0,C106+D106-E106)</f>
        <v>3490771.42171915</v>
      </c>
      <c r="H106" s="1" t="str">
        <f aca="false">IF(AND(B106&gt;04_Lease_Liability!C$84,B106&lt;=04_Lease_Liability!C$84+365),"YES","NO")</f>
        <v>YES</v>
      </c>
      <c r="I106" s="1" t="str">
        <f aca="false">IF(ABS(C106+D106-E106-G106)&lt;=0.01,"PASS","CHECK")</f>
        <v>PASS</v>
      </c>
    </row>
    <row r="107" customFormat="false" ht="15" hidden="false" customHeight="true" outlineLevel="0" collapsed="false">
      <c r="A107" s="1" t="s">
        <v>101</v>
      </c>
      <c r="B107" s="7" t="n">
        <v>46357</v>
      </c>
      <c r="C107" s="6" t="n">
        <f aca="false">G106</f>
        <v>3490771.42171915</v>
      </c>
      <c r="D107" s="6" t="n">
        <f aca="false">C107*((1+01_Lease_Master!$P$14)^((B107-B106)/365)-1)</f>
        <v>28764.7636881975</v>
      </c>
      <c r="E107" s="6" t="n">
        <f aca="false">SUMIFS(02_Payment_Schedule!E:E,02_Payment_Schedule!A:A,A107,02_Payment_Schedule!D:D,B107)</f>
        <v>115000</v>
      </c>
      <c r="F107" s="6" t="n">
        <f aca="false">MAX(0,E107-D107)</f>
        <v>86235.2363118026</v>
      </c>
      <c r="G107" s="6" t="n">
        <f aca="false">MAX(0,C107+D107-E107)</f>
        <v>3404536.18540735</v>
      </c>
      <c r="H107" s="1" t="str">
        <f aca="false">IF(AND(B107&gt;04_Lease_Liability!C$84,B107&lt;=04_Lease_Liability!C$84+365),"YES","NO")</f>
        <v>YES</v>
      </c>
      <c r="I107" s="1" t="str">
        <f aca="false">IF(ABS(C107+D107-E107-G107)&lt;=0.01,"PASS","CHECK")</f>
        <v>PASS</v>
      </c>
    </row>
    <row r="108" customFormat="false" ht="15" hidden="false" customHeight="true" outlineLevel="0" collapsed="false">
      <c r="A108" s="1" t="s">
        <v>101</v>
      </c>
      <c r="B108" s="7" t="n">
        <v>46388</v>
      </c>
      <c r="C108" s="6" t="n">
        <f aca="false">G107</f>
        <v>3404536.18540735</v>
      </c>
      <c r="D108" s="6" t="n">
        <f aca="false">C108*((1+01_Lease_Master!$P$14)^((B108-B107)/365)-1)</f>
        <v>28993.275028461</v>
      </c>
      <c r="E108" s="6" t="n">
        <f aca="false">SUMIFS(02_Payment_Schedule!E:E,02_Payment_Schedule!A:A,A108,02_Payment_Schedule!D:D,B108)</f>
        <v>115000</v>
      </c>
      <c r="F108" s="6" t="n">
        <f aca="false">MAX(0,E108-D108)</f>
        <v>86006.724971539</v>
      </c>
      <c r="G108" s="6" t="n">
        <f aca="false">MAX(0,C108+D108-E108)</f>
        <v>3318529.46043581</v>
      </c>
      <c r="H108" s="1" t="str">
        <f aca="false">IF(AND(B108&gt;04_Lease_Liability!C$84,B108&lt;=04_Lease_Liability!C$84+365),"YES","NO")</f>
        <v>YES</v>
      </c>
      <c r="I108" s="1" t="str">
        <f aca="false">IF(ABS(C108+D108-E108-G108)&lt;=0.01,"PASS","CHECK")</f>
        <v>PASS</v>
      </c>
    </row>
    <row r="109" customFormat="false" ht="15" hidden="false" customHeight="true" outlineLevel="0" collapsed="false">
      <c r="A109" s="1" t="s">
        <v>101</v>
      </c>
      <c r="B109" s="7" t="n">
        <v>46419</v>
      </c>
      <c r="C109" s="6" t="n">
        <f aca="false">G108</f>
        <v>3318529.46043581</v>
      </c>
      <c r="D109" s="6" t="n">
        <f aca="false">C109*((1+01_Lease_Master!$P$14)^((B109-B108)/365)-1)</f>
        <v>28260.8355725124</v>
      </c>
      <c r="E109" s="6" t="n">
        <f aca="false">SUMIFS(02_Payment_Schedule!E:E,02_Payment_Schedule!A:A,A109,02_Payment_Schedule!D:D,B109)</f>
        <v>115000</v>
      </c>
      <c r="F109" s="6" t="n">
        <f aca="false">MAX(0,E109-D109)</f>
        <v>86739.1644274876</v>
      </c>
      <c r="G109" s="6" t="n">
        <f aca="false">MAX(0,C109+D109-E109)</f>
        <v>3231790.29600832</v>
      </c>
      <c r="H109" s="1" t="str">
        <f aca="false">IF(AND(B109&gt;04_Lease_Liability!C$84,B109&lt;=04_Lease_Liability!C$84+365),"YES","NO")</f>
        <v>NO</v>
      </c>
      <c r="I109" s="1" t="str">
        <f aca="false">IF(ABS(C109+D109-E109-G109)&lt;=0.01,"PASS","CHECK")</f>
        <v>PASS</v>
      </c>
    </row>
    <row r="110" customFormat="false" ht="15" hidden="false" customHeight="true" outlineLevel="0" collapsed="false">
      <c r="A110" s="1" t="s">
        <v>101</v>
      </c>
      <c r="B110" s="7" t="n">
        <v>46447</v>
      </c>
      <c r="C110" s="6" t="n">
        <f aca="false">G109</f>
        <v>3231790.29600832</v>
      </c>
      <c r="D110" s="6" t="n">
        <f aca="false">C110*((1+01_Lease_Master!$P$14)^((B110-B109)/365)-1)</f>
        <v>24848.5121712502</v>
      </c>
      <c r="E110" s="6" t="n">
        <f aca="false">SUMIFS(02_Payment_Schedule!E:E,02_Payment_Schedule!A:A,A110,02_Payment_Schedule!D:D,B110)</f>
        <v>115000</v>
      </c>
      <c r="F110" s="6" t="n">
        <f aca="false">MAX(0,E110-D110)</f>
        <v>90151.4878287498</v>
      </c>
      <c r="G110" s="6" t="n">
        <f aca="false">MAX(0,C110+D110-E110)</f>
        <v>3141638.80817957</v>
      </c>
      <c r="H110" s="1" t="str">
        <f aca="false">IF(AND(B110&gt;04_Lease_Liability!C$84,B110&lt;=04_Lease_Liability!C$84+365),"YES","NO")</f>
        <v>NO</v>
      </c>
      <c r="I110" s="1" t="str">
        <f aca="false">IF(ABS(C110+D110-E110-G110)&lt;=0.01,"PASS","CHECK")</f>
        <v>PASS</v>
      </c>
    </row>
    <row r="111" customFormat="false" ht="15" hidden="false" customHeight="true" outlineLevel="0" collapsed="false">
      <c r="A111" s="1" t="s">
        <v>101</v>
      </c>
      <c r="B111" s="7" t="n">
        <v>46478</v>
      </c>
      <c r="C111" s="6" t="n">
        <f aca="false">G110</f>
        <v>3141638.80817957</v>
      </c>
      <c r="D111" s="6" t="n">
        <f aca="false">C111*((1+01_Lease_Master!$P$14)^((B111-B110)/365)-1)</f>
        <v>26754.4220549203</v>
      </c>
      <c r="E111" s="6" t="n">
        <f aca="false">SUMIFS(02_Payment_Schedule!E:E,02_Payment_Schedule!A:A,A111,02_Payment_Schedule!D:D,B111)</f>
        <v>115000</v>
      </c>
      <c r="F111" s="6" t="n">
        <f aca="false">MAX(0,E111-D111)</f>
        <v>88245.5779450797</v>
      </c>
      <c r="G111" s="6" t="n">
        <f aca="false">MAX(0,C111+D111-E111)</f>
        <v>3053393.23023449</v>
      </c>
      <c r="H111" s="1" t="str">
        <f aca="false">IF(AND(B111&gt;04_Lease_Liability!C$84,B111&lt;=04_Lease_Liability!C$84+365),"YES","NO")</f>
        <v>NO</v>
      </c>
      <c r="I111" s="1" t="str">
        <f aca="false">IF(ABS(C111+D111-E111-G111)&lt;=0.01,"PASS","CHECK")</f>
        <v>PASS</v>
      </c>
    </row>
    <row r="112" customFormat="false" ht="15" hidden="false" customHeight="true" outlineLevel="0" collapsed="false">
      <c r="A112" s="1" t="s">
        <v>101</v>
      </c>
      <c r="B112" s="7" t="n">
        <v>46508</v>
      </c>
      <c r="C112" s="6" t="n">
        <f aca="false">G111</f>
        <v>3053393.23023449</v>
      </c>
      <c r="D112" s="6" t="n">
        <f aca="false">C112*((1+01_Lease_Master!$P$14)^((B112-B111)/365)-1)</f>
        <v>25160.6662551345</v>
      </c>
      <c r="E112" s="6" t="n">
        <f aca="false">SUMIFS(02_Payment_Schedule!E:E,02_Payment_Schedule!A:A,A112,02_Payment_Schedule!D:D,B112)</f>
        <v>115000</v>
      </c>
      <c r="F112" s="6" t="n">
        <f aca="false">MAX(0,E112-D112)</f>
        <v>89839.3337448655</v>
      </c>
      <c r="G112" s="6" t="n">
        <f aca="false">MAX(0,C112+D112-E112)</f>
        <v>2963553.89648963</v>
      </c>
      <c r="H112" s="1" t="str">
        <f aca="false">IF(AND(B112&gt;04_Lease_Liability!C$84,B112&lt;=04_Lease_Liability!C$84+365),"YES","NO")</f>
        <v>NO</v>
      </c>
      <c r="I112" s="1" t="str">
        <f aca="false">IF(ABS(C112+D112-E112-G112)&lt;=0.01,"PASS","CHECK")</f>
        <v>PASS</v>
      </c>
    </row>
    <row r="113" customFormat="false" ht="15" hidden="false" customHeight="true" outlineLevel="0" collapsed="false">
      <c r="A113" s="1" t="s">
        <v>101</v>
      </c>
      <c r="B113" s="7" t="n">
        <v>46539</v>
      </c>
      <c r="C113" s="6" t="n">
        <f aca="false">G112</f>
        <v>2963553.89648963</v>
      </c>
      <c r="D113" s="6" t="n">
        <f aca="false">C113*((1+01_Lease_Master!$P$14)^((B113-B112)/365)-1)</f>
        <v>25237.8381380929</v>
      </c>
      <c r="E113" s="6" t="n">
        <f aca="false">SUMIFS(02_Payment_Schedule!E:E,02_Payment_Schedule!A:A,A113,02_Payment_Schedule!D:D,B113)</f>
        <v>125000</v>
      </c>
      <c r="F113" s="6" t="n">
        <f aca="false">MAX(0,E113-D113)</f>
        <v>99762.1618619071</v>
      </c>
      <c r="G113" s="6" t="n">
        <f aca="false">MAX(0,C113+D113-E113)</f>
        <v>2863791.73462772</v>
      </c>
      <c r="H113" s="1" t="str">
        <f aca="false">IF(AND(B113&gt;04_Lease_Liability!C$84,B113&lt;=04_Lease_Liability!C$84+365),"YES","NO")</f>
        <v>NO</v>
      </c>
      <c r="I113" s="1" t="str">
        <f aca="false">IF(ABS(C113+D113-E113-G113)&lt;=0.01,"PASS","CHECK")</f>
        <v>PASS</v>
      </c>
    </row>
    <row r="114" customFormat="false" ht="15" hidden="false" customHeight="true" outlineLevel="0" collapsed="false">
      <c r="A114" s="1" t="s">
        <v>101</v>
      </c>
      <c r="B114" s="7" t="n">
        <v>46569</v>
      </c>
      <c r="C114" s="6" t="n">
        <f aca="false">G113</f>
        <v>2863791.73462772</v>
      </c>
      <c r="D114" s="6" t="n">
        <f aca="false">C114*((1+01_Lease_Master!$P$14)^((B114-B113)/365)-1)</f>
        <v>23598.3060896638</v>
      </c>
      <c r="E114" s="6" t="n">
        <f aca="false">SUMIFS(02_Payment_Schedule!E:E,02_Payment_Schedule!A:A,A114,02_Payment_Schedule!D:D,B114)</f>
        <v>125000</v>
      </c>
      <c r="F114" s="6" t="n">
        <f aca="false">MAX(0,E114-D114)</f>
        <v>101401.693910336</v>
      </c>
      <c r="G114" s="6" t="n">
        <f aca="false">MAX(0,C114+D114-E114)</f>
        <v>2762390.04071739</v>
      </c>
      <c r="H114" s="1" t="str">
        <f aca="false">IF(AND(B114&gt;04_Lease_Liability!C$84,B114&lt;=04_Lease_Liability!C$84+365),"YES","NO")</f>
        <v>NO</v>
      </c>
      <c r="I114" s="1" t="str">
        <f aca="false">IF(ABS(C114+D114-E114-G114)&lt;=0.01,"PASS","CHECK")</f>
        <v>PASS</v>
      </c>
    </row>
    <row r="115" customFormat="false" ht="15" hidden="false" customHeight="true" outlineLevel="0" collapsed="false">
      <c r="A115" s="1" t="s">
        <v>101</v>
      </c>
      <c r="B115" s="7" t="n">
        <v>46600</v>
      </c>
      <c r="C115" s="6" t="n">
        <f aca="false">G114</f>
        <v>2762390.04071739</v>
      </c>
      <c r="D115" s="6" t="n">
        <f aca="false">C115*((1+01_Lease_Master!$P$14)^((B115-B114)/365)-1)</f>
        <v>23524.7122734922</v>
      </c>
      <c r="E115" s="6" t="n">
        <f aca="false">SUMIFS(02_Payment_Schedule!E:E,02_Payment_Schedule!A:A,A115,02_Payment_Schedule!D:D,B115)</f>
        <v>125000</v>
      </c>
      <c r="F115" s="6" t="n">
        <f aca="false">MAX(0,E115-D115)</f>
        <v>101475.287726508</v>
      </c>
      <c r="G115" s="6" t="n">
        <f aca="false">MAX(0,C115+D115-E115)</f>
        <v>2660914.75299088</v>
      </c>
      <c r="H115" s="1" t="str">
        <f aca="false">IF(AND(B115&gt;04_Lease_Liability!C$84,B115&lt;=04_Lease_Liability!C$84+365),"YES","NO")</f>
        <v>NO</v>
      </c>
      <c r="I115" s="1" t="str">
        <f aca="false">IF(ABS(C115+D115-E115-G115)&lt;=0.01,"PASS","CHECK")</f>
        <v>PASS</v>
      </c>
    </row>
    <row r="116" customFormat="false" ht="15" hidden="false" customHeight="true" outlineLevel="0" collapsed="false">
      <c r="A116" s="1" t="s">
        <v>101</v>
      </c>
      <c r="B116" s="7" t="n">
        <v>46631</v>
      </c>
      <c r="C116" s="6" t="n">
        <f aca="false">G115</f>
        <v>2660914.75299088</v>
      </c>
      <c r="D116" s="6" t="n">
        <f aca="false">C116*((1+01_Lease_Master!$P$14)^((B116-B115)/365)-1)</f>
        <v>22660.5414245357</v>
      </c>
      <c r="E116" s="6" t="n">
        <f aca="false">SUMIFS(02_Payment_Schedule!E:E,02_Payment_Schedule!A:A,A116,02_Payment_Schedule!D:D,B116)</f>
        <v>125000</v>
      </c>
      <c r="F116" s="6" t="n">
        <f aca="false">MAX(0,E116-D116)</f>
        <v>102339.458575464</v>
      </c>
      <c r="G116" s="6" t="n">
        <f aca="false">MAX(0,C116+D116-E116)</f>
        <v>2558575.29441541</v>
      </c>
      <c r="H116" s="1" t="str">
        <f aca="false">IF(AND(B116&gt;04_Lease_Liability!C$84,B116&lt;=04_Lease_Liability!C$84+365),"YES","NO")</f>
        <v>NO</v>
      </c>
      <c r="I116" s="1" t="str">
        <f aca="false">IF(ABS(C116+D116-E116-G116)&lt;=0.01,"PASS","CHECK")</f>
        <v>PASS</v>
      </c>
    </row>
    <row r="117" customFormat="false" ht="15" hidden="false" customHeight="true" outlineLevel="0" collapsed="false">
      <c r="A117" s="1" t="s">
        <v>101</v>
      </c>
      <c r="B117" s="7" t="n">
        <v>46661</v>
      </c>
      <c r="C117" s="6" t="n">
        <f aca="false">G116</f>
        <v>2558575.29441541</v>
      </c>
      <c r="D117" s="6" t="n">
        <f aca="false">C117*((1+01_Lease_Master!$P$14)^((B117-B116)/365)-1)</f>
        <v>21083.2520469284</v>
      </c>
      <c r="E117" s="6" t="n">
        <f aca="false">SUMIFS(02_Payment_Schedule!E:E,02_Payment_Schedule!A:A,A117,02_Payment_Schedule!D:D,B117)</f>
        <v>125000</v>
      </c>
      <c r="F117" s="6" t="n">
        <f aca="false">MAX(0,E117-D117)</f>
        <v>103916.747953072</v>
      </c>
      <c r="G117" s="6" t="n">
        <f aca="false">MAX(0,C117+D117-E117)</f>
        <v>2454658.54646234</v>
      </c>
      <c r="H117" s="1" t="str">
        <f aca="false">IF(AND(B117&gt;04_Lease_Liability!C$84,B117&lt;=04_Lease_Liability!C$84+365),"YES","NO")</f>
        <v>NO</v>
      </c>
      <c r="I117" s="1" t="str">
        <f aca="false">IF(ABS(C117+D117-E117-G117)&lt;=0.01,"PASS","CHECK")</f>
        <v>PASS</v>
      </c>
    </row>
    <row r="118" customFormat="false" ht="15" hidden="false" customHeight="true" outlineLevel="0" collapsed="false">
      <c r="A118" s="1" t="s">
        <v>101</v>
      </c>
      <c r="B118" s="7" t="n">
        <v>46692</v>
      </c>
      <c r="C118" s="6" t="n">
        <f aca="false">G117</f>
        <v>2454658.54646234</v>
      </c>
      <c r="D118" s="6" t="n">
        <f aca="false">C118*((1+01_Lease_Master!$P$14)^((B118-B117)/365)-1)</f>
        <v>20904.0487346237</v>
      </c>
      <c r="E118" s="6" t="n">
        <f aca="false">SUMIFS(02_Payment_Schedule!E:E,02_Payment_Schedule!A:A,A118,02_Payment_Schedule!D:D,B118)</f>
        <v>125000</v>
      </c>
      <c r="F118" s="6" t="n">
        <f aca="false">MAX(0,E118-D118)</f>
        <v>104095.951265376</v>
      </c>
      <c r="G118" s="6" t="n">
        <f aca="false">MAX(0,C118+D118-E118)</f>
        <v>2350562.59519697</v>
      </c>
      <c r="H118" s="1" t="str">
        <f aca="false">IF(AND(B118&gt;04_Lease_Liability!C$84,B118&lt;=04_Lease_Liability!C$84+365),"YES","NO")</f>
        <v>NO</v>
      </c>
      <c r="I118" s="1" t="str">
        <f aca="false">IF(ABS(C118+D118-E118-G118)&lt;=0.01,"PASS","CHECK")</f>
        <v>PASS</v>
      </c>
    </row>
    <row r="119" customFormat="false" ht="15" hidden="false" customHeight="true" outlineLevel="0" collapsed="false">
      <c r="A119" s="1" t="s">
        <v>101</v>
      </c>
      <c r="B119" s="7" t="n">
        <v>46722</v>
      </c>
      <c r="C119" s="6" t="n">
        <f aca="false">G118</f>
        <v>2350562.59519697</v>
      </c>
      <c r="D119" s="6" t="n">
        <f aca="false">C119*((1+01_Lease_Master!$P$14)^((B119-B118)/365)-1)</f>
        <v>19369.1793064635</v>
      </c>
      <c r="E119" s="6" t="n">
        <f aca="false">SUMIFS(02_Payment_Schedule!E:E,02_Payment_Schedule!A:A,A119,02_Payment_Schedule!D:D,B119)</f>
        <v>125000</v>
      </c>
      <c r="F119" s="6" t="n">
        <f aca="false">MAX(0,E119-D119)</f>
        <v>105630.820693536</v>
      </c>
      <c r="G119" s="6" t="n">
        <f aca="false">MAX(0,C119+D119-E119)</f>
        <v>2244931.77450343</v>
      </c>
      <c r="H119" s="1" t="str">
        <f aca="false">IF(AND(B119&gt;04_Lease_Liability!C$84,B119&lt;=04_Lease_Liability!C$84+365),"YES","NO")</f>
        <v>NO</v>
      </c>
      <c r="I119" s="1" t="str">
        <f aca="false">IF(ABS(C119+D119-E119-G119)&lt;=0.01,"PASS","CHECK")</f>
        <v>PASS</v>
      </c>
    </row>
    <row r="120" customFormat="false" ht="15" hidden="false" customHeight="true" outlineLevel="0" collapsed="false">
      <c r="A120" s="1" t="s">
        <v>101</v>
      </c>
      <c r="B120" s="7" t="n">
        <v>46753</v>
      </c>
      <c r="C120" s="6" t="n">
        <f aca="false">G119</f>
        <v>2244931.77450343</v>
      </c>
      <c r="D120" s="6" t="n">
        <f aca="false">C120*((1+01_Lease_Master!$P$14)^((B120-B119)/365)-1)</f>
        <v>19118.0004598838</v>
      </c>
      <c r="E120" s="6" t="n">
        <f aca="false">SUMIFS(02_Payment_Schedule!E:E,02_Payment_Schedule!A:A,A120,02_Payment_Schedule!D:D,B120)</f>
        <v>125000</v>
      </c>
      <c r="F120" s="6" t="n">
        <f aca="false">MAX(0,E120-D120)</f>
        <v>105881.999540116</v>
      </c>
      <c r="G120" s="6" t="n">
        <f aca="false">MAX(0,C120+D120-E120)</f>
        <v>2139049.77496331</v>
      </c>
      <c r="H120" s="1" t="str">
        <f aca="false">IF(AND(B120&gt;04_Lease_Liability!C$84,B120&lt;=04_Lease_Liability!C$84+365),"YES","NO")</f>
        <v>NO</v>
      </c>
      <c r="I120" s="1" t="str">
        <f aca="false">IF(ABS(C120+D120-E120-G120)&lt;=0.01,"PASS","CHECK")</f>
        <v>PASS</v>
      </c>
    </row>
    <row r="121" customFormat="false" ht="15" hidden="false" customHeight="true" outlineLevel="0" collapsed="false">
      <c r="A121" s="1" t="s">
        <v>101</v>
      </c>
      <c r="B121" s="7" t="n">
        <v>46784</v>
      </c>
      <c r="C121" s="6" t="n">
        <f aca="false">G120</f>
        <v>2139049.77496331</v>
      </c>
      <c r="D121" s="6" t="n">
        <f aca="false">C121*((1+01_Lease_Master!$P$14)^((B121-B120)/365)-1)</f>
        <v>18216.3017361669</v>
      </c>
      <c r="E121" s="6" t="n">
        <f aca="false">SUMIFS(02_Payment_Schedule!E:E,02_Payment_Schedule!A:A,A121,02_Payment_Schedule!D:D,B121)</f>
        <v>125000</v>
      </c>
      <c r="F121" s="6" t="n">
        <f aca="false">MAX(0,E121-D121)</f>
        <v>106783.698263833</v>
      </c>
      <c r="G121" s="6" t="n">
        <f aca="false">MAX(0,C121+D121-E121)</f>
        <v>2032266.07669948</v>
      </c>
      <c r="H121" s="1" t="str">
        <f aca="false">IF(AND(B121&gt;04_Lease_Liability!C$84,B121&lt;=04_Lease_Liability!C$84+365),"YES","NO")</f>
        <v>NO</v>
      </c>
      <c r="I121" s="1" t="str">
        <f aca="false">IF(ABS(C121+D121-E121-G121)&lt;=0.01,"PASS","CHECK")</f>
        <v>PASS</v>
      </c>
    </row>
    <row r="122" customFormat="false" ht="15" hidden="false" customHeight="true" outlineLevel="0" collapsed="false">
      <c r="A122" s="1" t="s">
        <v>101</v>
      </c>
      <c r="B122" s="7" t="n">
        <v>46813</v>
      </c>
      <c r="C122" s="6" t="n">
        <f aca="false">G121</f>
        <v>2032266.07669948</v>
      </c>
      <c r="D122" s="6" t="n">
        <f aca="false">C122*((1+01_Lease_Master!$P$14)^((B122-B121)/365)-1)</f>
        <v>16185.9140325348</v>
      </c>
      <c r="E122" s="6" t="n">
        <f aca="false">SUMIFS(02_Payment_Schedule!E:E,02_Payment_Schedule!A:A,A122,02_Payment_Schedule!D:D,B122)</f>
        <v>125000</v>
      </c>
      <c r="F122" s="6" t="n">
        <f aca="false">MAX(0,E122-D122)</f>
        <v>108814.085967465</v>
      </c>
      <c r="G122" s="6" t="n">
        <f aca="false">MAX(0,C122+D122-E122)</f>
        <v>1923451.99073201</v>
      </c>
      <c r="H122" s="1" t="str">
        <f aca="false">IF(AND(B122&gt;04_Lease_Liability!C$84,B122&lt;=04_Lease_Liability!C$84+365),"YES","NO")</f>
        <v>NO</v>
      </c>
      <c r="I122" s="1" t="str">
        <f aca="false">IF(ABS(C122+D122-E122-G122)&lt;=0.01,"PASS","CHECK")</f>
        <v>PASS</v>
      </c>
    </row>
    <row r="123" customFormat="false" ht="15" hidden="false" customHeight="true" outlineLevel="0" collapsed="false">
      <c r="A123" s="1" t="s">
        <v>101</v>
      </c>
      <c r="B123" s="7" t="n">
        <v>46844</v>
      </c>
      <c r="C123" s="6" t="n">
        <f aca="false">G122</f>
        <v>1923451.99073201</v>
      </c>
      <c r="D123" s="6" t="n">
        <f aca="false">C123*((1+01_Lease_Master!$P$14)^((B123-B122)/365)-1)</f>
        <v>16380.255498639</v>
      </c>
      <c r="E123" s="6" t="n">
        <f aca="false">SUMIFS(02_Payment_Schedule!E:E,02_Payment_Schedule!A:A,A123,02_Payment_Schedule!D:D,B123)</f>
        <v>125000</v>
      </c>
      <c r="F123" s="6" t="n">
        <f aca="false">MAX(0,E123-D123)</f>
        <v>108619.744501361</v>
      </c>
      <c r="G123" s="6" t="n">
        <f aca="false">MAX(0,C123+D123-E123)</f>
        <v>1814832.24623065</v>
      </c>
      <c r="H123" s="1" t="str">
        <f aca="false">IF(AND(B123&gt;04_Lease_Liability!C$84,B123&lt;=04_Lease_Liability!C$84+365),"YES","NO")</f>
        <v>NO</v>
      </c>
      <c r="I123" s="1" t="str">
        <f aca="false">IF(ABS(C123+D123-E123-G123)&lt;=0.01,"PASS","CHECK")</f>
        <v>PASS</v>
      </c>
    </row>
    <row r="124" customFormat="false" ht="15" hidden="false" customHeight="true" outlineLevel="0" collapsed="false">
      <c r="A124" s="1" t="s">
        <v>101</v>
      </c>
      <c r="B124" s="7" t="n">
        <v>46874</v>
      </c>
      <c r="C124" s="6" t="n">
        <f aca="false">G123</f>
        <v>1814832.24623065</v>
      </c>
      <c r="D124" s="6" t="n">
        <f aca="false">C124*((1+01_Lease_Master!$P$14)^((B124-B123)/365)-1)</f>
        <v>14954.6373537217</v>
      </c>
      <c r="E124" s="6" t="n">
        <f aca="false">SUMIFS(02_Payment_Schedule!E:E,02_Payment_Schedule!A:A,A124,02_Payment_Schedule!D:D,B124)</f>
        <v>125000</v>
      </c>
      <c r="F124" s="6" t="n">
        <f aca="false">MAX(0,E124-D124)</f>
        <v>110045.362646278</v>
      </c>
      <c r="G124" s="6" t="n">
        <f aca="false">MAX(0,C124+D124-E124)</f>
        <v>1704786.88358437</v>
      </c>
      <c r="H124" s="1" t="str">
        <f aca="false">IF(AND(B124&gt;04_Lease_Liability!C$84,B124&lt;=04_Lease_Liability!C$84+365),"YES","NO")</f>
        <v>NO</v>
      </c>
      <c r="I124" s="1" t="str">
        <f aca="false">IF(ABS(C124+D124-E124-G124)&lt;=0.01,"PASS","CHECK")</f>
        <v>PASS</v>
      </c>
    </row>
    <row r="125" customFormat="false" ht="15" hidden="false" customHeight="true" outlineLevel="0" collapsed="false">
      <c r="A125" s="1" t="s">
        <v>101</v>
      </c>
      <c r="B125" s="7" t="n">
        <v>46905</v>
      </c>
      <c r="C125" s="6" t="n">
        <f aca="false">G124</f>
        <v>1704786.88358437</v>
      </c>
      <c r="D125" s="6" t="n">
        <f aca="false">C125*((1+01_Lease_Master!$P$14)^((B125-B124)/365)-1)</f>
        <v>14518.0877185362</v>
      </c>
      <c r="E125" s="6" t="n">
        <f aca="false">SUMIFS(02_Payment_Schedule!E:E,02_Payment_Schedule!A:A,A125,02_Payment_Schedule!D:D,B125)</f>
        <v>125000</v>
      </c>
      <c r="F125" s="6" t="n">
        <f aca="false">MAX(0,E125-D125)</f>
        <v>110481.912281464</v>
      </c>
      <c r="G125" s="6" t="n">
        <f aca="false">MAX(0,C125+D125-E125)</f>
        <v>1594304.97130291</v>
      </c>
      <c r="H125" s="1" t="str">
        <f aca="false">IF(AND(B125&gt;04_Lease_Liability!C$84,B125&lt;=04_Lease_Liability!C$84+365),"YES","NO")</f>
        <v>NO</v>
      </c>
      <c r="I125" s="1" t="str">
        <f aca="false">IF(ABS(C125+D125-E125-G125)&lt;=0.01,"PASS","CHECK")</f>
        <v>PASS</v>
      </c>
    </row>
    <row r="126" customFormat="false" ht="15" hidden="false" customHeight="true" outlineLevel="0" collapsed="false">
      <c r="A126" s="1" t="s">
        <v>101</v>
      </c>
      <c r="B126" s="7" t="n">
        <v>46935</v>
      </c>
      <c r="C126" s="6" t="n">
        <f aca="false">G125</f>
        <v>1594304.97130291</v>
      </c>
      <c r="D126" s="6" t="n">
        <f aca="false">C126*((1+01_Lease_Master!$P$14)^((B126-B125)/365)-1)</f>
        <v>13137.4416156591</v>
      </c>
      <c r="E126" s="6" t="n">
        <f aca="false">SUMIFS(02_Payment_Schedule!E:E,02_Payment_Schedule!A:A,A126,02_Payment_Schedule!D:D,B126)</f>
        <v>125000</v>
      </c>
      <c r="F126" s="6" t="n">
        <f aca="false">MAX(0,E126-D126)</f>
        <v>111862.558384341</v>
      </c>
      <c r="G126" s="6" t="n">
        <f aca="false">MAX(0,C126+D126-E126)</f>
        <v>1482442.41291857</v>
      </c>
      <c r="H126" s="1" t="str">
        <f aca="false">IF(AND(B126&gt;04_Lease_Liability!C$84,B126&lt;=04_Lease_Liability!C$84+365),"YES","NO")</f>
        <v>NO</v>
      </c>
      <c r="I126" s="1" t="str">
        <f aca="false">IF(ABS(C126+D126-E126-G126)&lt;=0.01,"PASS","CHECK")</f>
        <v>PASS</v>
      </c>
    </row>
    <row r="127" customFormat="false" ht="15" hidden="false" customHeight="true" outlineLevel="0" collapsed="false">
      <c r="A127" s="1" t="s">
        <v>101</v>
      </c>
      <c r="B127" s="7" t="n">
        <v>46966</v>
      </c>
      <c r="C127" s="6" t="n">
        <f aca="false">G126</f>
        <v>1482442.41291857</v>
      </c>
      <c r="D127" s="6" t="n">
        <f aca="false">C127*((1+01_Lease_Master!$P$14)^((B127-B126)/365)-1)</f>
        <v>12624.5862140722</v>
      </c>
      <c r="E127" s="6" t="n">
        <f aca="false">SUMIFS(02_Payment_Schedule!E:E,02_Payment_Schedule!A:A,A127,02_Payment_Schedule!D:D,B127)</f>
        <v>125000</v>
      </c>
      <c r="F127" s="6" t="n">
        <f aca="false">MAX(0,E127-D127)</f>
        <v>112375.413785928</v>
      </c>
      <c r="G127" s="6" t="n">
        <f aca="false">MAX(0,C127+D127-E127)</f>
        <v>1370066.99913264</v>
      </c>
      <c r="H127" s="1" t="str">
        <f aca="false">IF(AND(B127&gt;04_Lease_Liability!C$84,B127&lt;=04_Lease_Liability!C$84+365),"YES","NO")</f>
        <v>NO</v>
      </c>
      <c r="I127" s="1" t="str">
        <f aca="false">IF(ABS(C127+D127-E127-G127)&lt;=0.01,"PASS","CHECK")</f>
        <v>PASS</v>
      </c>
    </row>
    <row r="128" customFormat="false" ht="15" hidden="false" customHeight="true" outlineLevel="0" collapsed="false">
      <c r="A128" s="1" t="s">
        <v>101</v>
      </c>
      <c r="B128" s="7" t="n">
        <v>46997</v>
      </c>
      <c r="C128" s="6" t="n">
        <f aca="false">G127</f>
        <v>1370066.99913264</v>
      </c>
      <c r="D128" s="6" t="n">
        <f aca="false">C128*((1+01_Lease_Master!$P$14)^((B128-B127)/365)-1)</f>
        <v>11667.5891075947</v>
      </c>
      <c r="E128" s="6" t="n">
        <f aca="false">SUMIFS(02_Payment_Schedule!E:E,02_Payment_Schedule!A:A,A128,02_Payment_Schedule!D:D,B128)</f>
        <v>125000</v>
      </c>
      <c r="F128" s="6" t="n">
        <f aca="false">MAX(0,E128-D128)</f>
        <v>113332.410892405</v>
      </c>
      <c r="G128" s="6" t="n">
        <f aca="false">MAX(0,C128+D128-E128)</f>
        <v>1256734.58824024</v>
      </c>
      <c r="H128" s="1" t="str">
        <f aca="false">IF(AND(B128&gt;04_Lease_Liability!C$84,B128&lt;=04_Lease_Liability!C$84+365),"YES","NO")</f>
        <v>NO</v>
      </c>
      <c r="I128" s="1" t="str">
        <f aca="false">IF(ABS(C128+D128-E128-G128)&lt;=0.01,"PASS","CHECK")</f>
        <v>PASS</v>
      </c>
    </row>
    <row r="129" customFormat="false" ht="15" hidden="false" customHeight="true" outlineLevel="0" collapsed="false">
      <c r="A129" s="1" t="s">
        <v>101</v>
      </c>
      <c r="B129" s="7" t="n">
        <v>47027</v>
      </c>
      <c r="C129" s="6" t="n">
        <f aca="false">G128</f>
        <v>1256734.58824024</v>
      </c>
      <c r="D129" s="6" t="n">
        <f aca="false">C129*((1+01_Lease_Master!$P$14)^((B129-B128)/365)-1)</f>
        <v>10355.7836026145</v>
      </c>
      <c r="E129" s="6" t="n">
        <f aca="false">SUMIFS(02_Payment_Schedule!E:E,02_Payment_Schedule!A:A,A129,02_Payment_Schedule!D:D,B129)</f>
        <v>125000</v>
      </c>
      <c r="F129" s="6" t="n">
        <f aca="false">MAX(0,E129-D129)</f>
        <v>114644.216397385</v>
      </c>
      <c r="G129" s="6" t="n">
        <f aca="false">MAX(0,C129+D129-E129)</f>
        <v>1142090.37184285</v>
      </c>
      <c r="H129" s="1" t="str">
        <f aca="false">IF(AND(B129&gt;04_Lease_Liability!C$84,B129&lt;=04_Lease_Liability!C$84+365),"YES","NO")</f>
        <v>NO</v>
      </c>
      <c r="I129" s="1" t="str">
        <f aca="false">IF(ABS(C129+D129-E129-G129)&lt;=0.01,"PASS","CHECK")</f>
        <v>PASS</v>
      </c>
    </row>
    <row r="130" customFormat="false" ht="15" hidden="false" customHeight="true" outlineLevel="0" collapsed="false">
      <c r="A130" s="1" t="s">
        <v>101</v>
      </c>
      <c r="B130" s="7" t="n">
        <v>47058</v>
      </c>
      <c r="C130" s="6" t="n">
        <f aca="false">G129</f>
        <v>1142090.37184285</v>
      </c>
      <c r="D130" s="6" t="n">
        <f aca="false">C130*((1+01_Lease_Master!$P$14)^((B130-B129)/365)-1)</f>
        <v>9726.12375222416</v>
      </c>
      <c r="E130" s="6" t="n">
        <f aca="false">SUMIFS(02_Payment_Schedule!E:E,02_Payment_Schedule!A:A,A130,02_Payment_Schedule!D:D,B130)</f>
        <v>125000</v>
      </c>
      <c r="F130" s="6" t="n">
        <f aca="false">MAX(0,E130-D130)</f>
        <v>115273.876247776</v>
      </c>
      <c r="G130" s="6" t="n">
        <f aca="false">MAX(0,C130+D130-E130)</f>
        <v>1026816.49559508</v>
      </c>
      <c r="H130" s="1" t="str">
        <f aca="false">IF(AND(B130&gt;04_Lease_Liability!C$84,B130&lt;=04_Lease_Liability!C$84+365),"YES","NO")</f>
        <v>NO</v>
      </c>
      <c r="I130" s="1" t="str">
        <f aca="false">IF(ABS(C130+D130-E130-G130)&lt;=0.01,"PASS","CHECK")</f>
        <v>PASS</v>
      </c>
    </row>
    <row r="131" customFormat="false" ht="15" hidden="false" customHeight="true" outlineLevel="0" collapsed="false">
      <c r="A131" s="1" t="s">
        <v>101</v>
      </c>
      <c r="B131" s="7" t="n">
        <v>47088</v>
      </c>
      <c r="C131" s="6" t="n">
        <f aca="false">G130</f>
        <v>1026816.49559508</v>
      </c>
      <c r="D131" s="6" t="n">
        <f aca="false">C131*((1+01_Lease_Master!$P$14)^((B131-B130)/365)-1)</f>
        <v>8461.20535511583</v>
      </c>
      <c r="E131" s="6" t="n">
        <f aca="false">SUMIFS(02_Payment_Schedule!E:E,02_Payment_Schedule!A:A,A131,02_Payment_Schedule!D:D,B131)</f>
        <v>125000</v>
      </c>
      <c r="F131" s="6" t="n">
        <f aca="false">MAX(0,E131-D131)</f>
        <v>116538.794644884</v>
      </c>
      <c r="G131" s="6" t="n">
        <f aca="false">MAX(0,C131+D131-E131)</f>
        <v>910277.700950191</v>
      </c>
      <c r="H131" s="1" t="str">
        <f aca="false">IF(AND(B131&gt;04_Lease_Liability!C$84,B131&lt;=04_Lease_Liability!C$84+365),"YES","NO")</f>
        <v>NO</v>
      </c>
      <c r="I131" s="1" t="str">
        <f aca="false">IF(ABS(C131+D131-E131-G131)&lt;=0.01,"PASS","CHECK")</f>
        <v>PASS</v>
      </c>
    </row>
    <row r="132" customFormat="false" ht="15" hidden="false" customHeight="true" outlineLevel="0" collapsed="false">
      <c r="A132" s="1" t="s">
        <v>101</v>
      </c>
      <c r="B132" s="7" t="n">
        <v>47119</v>
      </c>
      <c r="C132" s="6" t="n">
        <f aca="false">G131</f>
        <v>910277.700950191</v>
      </c>
      <c r="D132" s="6" t="n">
        <f aca="false">C132*((1+01_Lease_Master!$P$14)^((B132-B131)/365)-1)</f>
        <v>7751.99037362157</v>
      </c>
      <c r="E132" s="6" t="n">
        <f aca="false">SUMIFS(02_Payment_Schedule!E:E,02_Payment_Schedule!A:A,A132,02_Payment_Schedule!D:D,B132)</f>
        <v>125000</v>
      </c>
      <c r="F132" s="6" t="n">
        <f aca="false">MAX(0,E132-D132)</f>
        <v>117248.009626378</v>
      </c>
      <c r="G132" s="6" t="n">
        <f aca="false">MAX(0,C132+D132-E132)</f>
        <v>793029.691323813</v>
      </c>
      <c r="H132" s="1" t="str">
        <f aca="false">IF(AND(B132&gt;04_Lease_Liability!C$84,B132&lt;=04_Lease_Liability!C$84+365),"YES","NO")</f>
        <v>NO</v>
      </c>
      <c r="I132" s="1" t="str">
        <f aca="false">IF(ABS(C132+D132-E132-G132)&lt;=0.01,"PASS","CHECK")</f>
        <v>PASS</v>
      </c>
    </row>
    <row r="133" customFormat="false" ht="15" hidden="false" customHeight="true" outlineLevel="0" collapsed="false">
      <c r="A133" s="1" t="s">
        <v>101</v>
      </c>
      <c r="B133" s="7" t="n">
        <v>47150</v>
      </c>
      <c r="C133" s="6" t="n">
        <f aca="false">G132</f>
        <v>793029.691323813</v>
      </c>
      <c r="D133" s="6" t="n">
        <f aca="false">C133*((1+01_Lease_Master!$P$14)^((B133-B132)/365)-1)</f>
        <v>6753.49789050217</v>
      </c>
      <c r="E133" s="6" t="n">
        <f aca="false">SUMIFS(02_Payment_Schedule!E:E,02_Payment_Schedule!A:A,A133,02_Payment_Schedule!D:D,B133)</f>
        <v>125000</v>
      </c>
      <c r="F133" s="6" t="n">
        <f aca="false">MAX(0,E133-D133)</f>
        <v>118246.502109498</v>
      </c>
      <c r="G133" s="6" t="n">
        <f aca="false">MAX(0,C133+D133-E133)</f>
        <v>674783.189214315</v>
      </c>
      <c r="H133" s="1" t="str">
        <f aca="false">IF(AND(B133&gt;04_Lease_Liability!C$84,B133&lt;=04_Lease_Liability!C$84+365),"YES","NO")</f>
        <v>NO</v>
      </c>
      <c r="I133" s="1" t="str">
        <f aca="false">IF(ABS(C133+D133-E133-G133)&lt;=0.01,"PASS","CHECK")</f>
        <v>PASS</v>
      </c>
    </row>
    <row r="134" customFormat="false" ht="15" hidden="false" customHeight="true" outlineLevel="0" collapsed="false">
      <c r="A134" s="1" t="s">
        <v>101</v>
      </c>
      <c r="B134" s="7" t="n">
        <v>47178</v>
      </c>
      <c r="C134" s="6" t="n">
        <f aca="false">G133</f>
        <v>674783.189214315</v>
      </c>
      <c r="D134" s="6" t="n">
        <f aca="false">C134*((1+01_Lease_Master!$P$14)^((B134-B133)/365)-1)</f>
        <v>5188.25689614105</v>
      </c>
      <c r="E134" s="6" t="n">
        <f aca="false">SUMIFS(02_Payment_Schedule!E:E,02_Payment_Schedule!A:A,A134,02_Payment_Schedule!D:D,B134)</f>
        <v>125000</v>
      </c>
      <c r="F134" s="6" t="n">
        <f aca="false">MAX(0,E134-D134)</f>
        <v>119811.743103859</v>
      </c>
      <c r="G134" s="6" t="n">
        <f aca="false">MAX(0,C134+D134-E134)</f>
        <v>554971.446110456</v>
      </c>
      <c r="H134" s="1" t="str">
        <f aca="false">IF(AND(B134&gt;04_Lease_Liability!C$84,B134&lt;=04_Lease_Liability!C$84+365),"YES","NO")</f>
        <v>NO</v>
      </c>
      <c r="I134" s="1" t="str">
        <f aca="false">IF(ABS(C134+D134-E134-G134)&lt;=0.01,"PASS","CHECK")</f>
        <v>PASS</v>
      </c>
    </row>
    <row r="135" customFormat="false" ht="15" hidden="false" customHeight="true" outlineLevel="0" collapsed="false">
      <c r="A135" s="1" t="s">
        <v>101</v>
      </c>
      <c r="B135" s="7" t="n">
        <v>47209</v>
      </c>
      <c r="C135" s="6" t="n">
        <f aca="false">G134</f>
        <v>554971.446110456</v>
      </c>
      <c r="D135" s="6" t="n">
        <f aca="false">C135*((1+01_Lease_Master!$P$14)^((B135-B134)/365)-1)</f>
        <v>4726.17675176743</v>
      </c>
      <c r="E135" s="6" t="n">
        <f aca="false">SUMIFS(02_Payment_Schedule!E:E,02_Payment_Schedule!A:A,A135,02_Payment_Schedule!D:D,B135)</f>
        <v>125000</v>
      </c>
      <c r="F135" s="6" t="n">
        <f aca="false">MAX(0,E135-D135)</f>
        <v>120273.823248233</v>
      </c>
      <c r="G135" s="6" t="n">
        <f aca="false">MAX(0,C135+D135-E135)</f>
        <v>434697.622862224</v>
      </c>
      <c r="H135" s="1" t="str">
        <f aca="false">IF(AND(B135&gt;04_Lease_Liability!C$84,B135&lt;=04_Lease_Liability!C$84+365),"YES","NO")</f>
        <v>NO</v>
      </c>
      <c r="I135" s="1" t="str">
        <f aca="false">IF(ABS(C135+D135-E135-G135)&lt;=0.01,"PASS","CHECK")</f>
        <v>PASS</v>
      </c>
    </row>
    <row r="136" customFormat="false" ht="15" hidden="false" customHeight="true" outlineLevel="0" collapsed="false">
      <c r="A136" s="1" t="s">
        <v>101</v>
      </c>
      <c r="B136" s="7" t="n">
        <v>47239</v>
      </c>
      <c r="C136" s="6" t="n">
        <f aca="false">G135</f>
        <v>434697.622862224</v>
      </c>
      <c r="D136" s="6" t="n">
        <f aca="false">C136*((1+01_Lease_Master!$P$14)^((B136-B135)/365)-1)</f>
        <v>3582.00892778451</v>
      </c>
      <c r="E136" s="6" t="n">
        <f aca="false">SUMIFS(02_Payment_Schedule!E:E,02_Payment_Schedule!A:A,A136,02_Payment_Schedule!D:D,B136)</f>
        <v>125000</v>
      </c>
      <c r="F136" s="6" t="n">
        <f aca="false">MAX(0,E136-D136)</f>
        <v>121417.991072215</v>
      </c>
      <c r="G136" s="6" t="n">
        <f aca="false">MAX(0,C136+D136-E136)</f>
        <v>313279.631790008</v>
      </c>
      <c r="H136" s="1" t="str">
        <f aca="false">IF(AND(B136&gt;04_Lease_Liability!C$84,B136&lt;=04_Lease_Liability!C$84+365),"YES","NO")</f>
        <v>NO</v>
      </c>
      <c r="I136" s="1" t="str">
        <f aca="false">IF(ABS(C136+D136-E136-G136)&lt;=0.01,"PASS","CHECK")</f>
        <v>PASS</v>
      </c>
    </row>
    <row r="137" customFormat="false" ht="15" hidden="false" customHeight="true" outlineLevel="0" collapsed="false">
      <c r="A137" s="1" t="s">
        <v>104</v>
      </c>
      <c r="B137" s="7" t="n">
        <v>46296</v>
      </c>
      <c r="C137" s="6" t="n">
        <f aca="false">SUMIFS(04_Lease_Liability!H:H,04_Lease_Liability!A:A,A137,04_Lease_Liability!B:B,"REPORTING")</f>
        <v>4949596.79115502</v>
      </c>
      <c r="D137" s="6" t="n">
        <f aca="false">C137*((1+01_Lease_Master!$P$15)^((B137-04_Lease_Liability!C$95)/365)-1)</f>
        <v>1225959.25751969</v>
      </c>
      <c r="E137" s="6" t="n">
        <f aca="false">SUMIFS(02_Payment_Schedule!E:E,02_Payment_Schedule!A:A,A137,02_Payment_Schedule!D:D,B137)</f>
        <v>530450</v>
      </c>
      <c r="F137" s="6" t="n">
        <f aca="false">MAX(0,E137-D137)</f>
        <v>0</v>
      </c>
      <c r="G137" s="6" t="n">
        <f aca="false">MAX(0,C137+D137-E137)</f>
        <v>5645106.04867471</v>
      </c>
      <c r="H137" s="1" t="str">
        <f aca="false">IF(AND(B137&gt;04_Lease_Liability!C$95,B137&lt;=04_Lease_Liability!C$95+365),"YES","NO")</f>
        <v>NO</v>
      </c>
      <c r="I137" s="1" t="str">
        <f aca="false">IF(ABS(C137+D137-E137-G137)&lt;=0.01,"PASS","CHECK")</f>
        <v>PASS</v>
      </c>
    </row>
    <row r="138" customFormat="false" ht="15" hidden="false" customHeight="true" outlineLevel="0" collapsed="false">
      <c r="A138" s="1" t="s">
        <v>104</v>
      </c>
      <c r="B138" s="7" t="n">
        <v>46388</v>
      </c>
      <c r="C138" s="6" t="n">
        <f aca="false">G137</f>
        <v>5645106.04867471</v>
      </c>
      <c r="D138" s="6" t="n">
        <f aca="false">C138*((1+01_Lease_Master!$P$15)^((B138-B137)/365)-1)</f>
        <v>127293.905361935</v>
      </c>
      <c r="E138" s="6" t="n">
        <f aca="false">SUMIFS(02_Payment_Schedule!E:E,02_Payment_Schedule!A:A,A138,02_Payment_Schedule!D:D,B138)</f>
        <v>530450</v>
      </c>
      <c r="F138" s="6" t="n">
        <f aca="false">MAX(0,E138-D138)</f>
        <v>403156.094638065</v>
      </c>
      <c r="G138" s="6" t="n">
        <f aca="false">MAX(0,C138+D138-E138)</f>
        <v>5241949.95403664</v>
      </c>
      <c r="H138" s="1" t="str">
        <f aca="false">IF(AND(B138&gt;04_Lease_Liability!C$95,B138&lt;=04_Lease_Liability!C$95+365),"YES","NO")</f>
        <v>NO</v>
      </c>
      <c r="I138" s="1" t="str">
        <f aca="false">IF(ABS(C138+D138-E138-G138)&lt;=0.01,"PASS","CHECK")</f>
        <v>PASS</v>
      </c>
    </row>
    <row r="139" customFormat="false" ht="15" hidden="false" customHeight="true" outlineLevel="0" collapsed="false">
      <c r="A139" s="1" t="s">
        <v>104</v>
      </c>
      <c r="B139" s="7" t="n">
        <v>46478</v>
      </c>
      <c r="C139" s="6" t="n">
        <f aca="false">G138</f>
        <v>5241949.95403664</v>
      </c>
      <c r="D139" s="6" t="n">
        <f aca="false">C139*((1+01_Lease_Master!$P$15)^((B139-B138)/365)-1)</f>
        <v>115605.210028139</v>
      </c>
      <c r="E139" s="6" t="n">
        <f aca="false">SUMIFS(02_Payment_Schedule!E:E,02_Payment_Schedule!A:A,A139,02_Payment_Schedule!D:D,B139)</f>
        <v>546363.5</v>
      </c>
      <c r="F139" s="6" t="n">
        <f aca="false">MAX(0,E139-D139)</f>
        <v>430758.289971861</v>
      </c>
      <c r="G139" s="6" t="n">
        <f aca="false">MAX(0,C139+D139-E139)</f>
        <v>4811191.66406478</v>
      </c>
      <c r="H139" s="1" t="str">
        <f aca="false">IF(AND(B139&gt;04_Lease_Liability!C$95,B139&lt;=04_Lease_Liability!C$95+365),"YES","NO")</f>
        <v>NO</v>
      </c>
      <c r="I139" s="1" t="str">
        <f aca="false">IF(ABS(C139+D139-E139-G139)&lt;=0.01,"PASS","CHECK")</f>
        <v>PASS</v>
      </c>
    </row>
    <row r="140" customFormat="false" ht="15" hidden="false" customHeight="true" outlineLevel="0" collapsed="false">
      <c r="A140" s="1" t="s">
        <v>104</v>
      </c>
      <c r="B140" s="7" t="n">
        <v>46569</v>
      </c>
      <c r="C140" s="6" t="n">
        <f aca="false">G139</f>
        <v>4811191.66406478</v>
      </c>
      <c r="D140" s="6" t="n">
        <f aca="false">C140*((1+01_Lease_Master!$P$15)^((B140-B139)/365)-1)</f>
        <v>107297.326879147</v>
      </c>
      <c r="E140" s="6" t="n">
        <f aca="false">SUMIFS(02_Payment_Schedule!E:E,02_Payment_Schedule!A:A,A140,02_Payment_Schedule!D:D,B140)</f>
        <v>546363.5</v>
      </c>
      <c r="F140" s="6" t="n">
        <f aca="false">MAX(0,E140-D140)</f>
        <v>439066.173120853</v>
      </c>
      <c r="G140" s="6" t="n">
        <f aca="false">MAX(0,C140+D140-E140)</f>
        <v>4372125.49094393</v>
      </c>
      <c r="H140" s="1" t="str">
        <f aca="false">IF(AND(B140&gt;04_Lease_Liability!C$95,B140&lt;=04_Lease_Liability!C$95+365),"YES","NO")</f>
        <v>NO</v>
      </c>
      <c r="I140" s="1" t="str">
        <f aca="false">IF(ABS(C140+D140-E140-G140)&lt;=0.01,"PASS","CHECK")</f>
        <v>PASS</v>
      </c>
    </row>
    <row r="141" customFormat="false" ht="15" hidden="false" customHeight="true" outlineLevel="0" collapsed="false">
      <c r="A141" s="1" t="s">
        <v>104</v>
      </c>
      <c r="B141" s="7" t="n">
        <v>46661</v>
      </c>
      <c r="C141" s="6" t="n">
        <f aca="false">G140</f>
        <v>4372125.49094393</v>
      </c>
      <c r="D141" s="6" t="n">
        <f aca="false">C141*((1+01_Lease_Master!$P$15)^((B141-B140)/365)-1)</f>
        <v>98588.9235163931</v>
      </c>
      <c r="E141" s="6" t="n">
        <f aca="false">SUMIFS(02_Payment_Schedule!E:E,02_Payment_Schedule!A:A,A141,02_Payment_Schedule!D:D,B141)</f>
        <v>546363.5</v>
      </c>
      <c r="F141" s="6" t="n">
        <f aca="false">MAX(0,E141-D141)</f>
        <v>447774.576483607</v>
      </c>
      <c r="G141" s="6" t="n">
        <f aca="false">MAX(0,C141+D141-E141)</f>
        <v>3924350.91446032</v>
      </c>
      <c r="H141" s="1" t="str">
        <f aca="false">IF(AND(B141&gt;04_Lease_Liability!C$95,B141&lt;=04_Lease_Liability!C$95+365),"YES","NO")</f>
        <v>NO</v>
      </c>
      <c r="I141" s="1" t="str">
        <f aca="false">IF(ABS(C141+D141-E141-G141)&lt;=0.01,"PASS","CHECK")</f>
        <v>PASS</v>
      </c>
    </row>
    <row r="142" customFormat="false" ht="15" hidden="false" customHeight="true" outlineLevel="0" collapsed="false">
      <c r="A142" s="1" t="s">
        <v>104</v>
      </c>
      <c r="B142" s="7" t="n">
        <v>46753</v>
      </c>
      <c r="C142" s="6" t="n">
        <f aca="false">G141</f>
        <v>3924350.91446032</v>
      </c>
      <c r="D142" s="6" t="n">
        <f aca="false">C142*((1+01_Lease_Master!$P$15)^((B142-B141)/365)-1)</f>
        <v>88491.8635017692</v>
      </c>
      <c r="E142" s="6" t="n">
        <f aca="false">SUMIFS(02_Payment_Schedule!E:E,02_Payment_Schedule!A:A,A142,02_Payment_Schedule!D:D,B142)</f>
        <v>546363.5</v>
      </c>
      <c r="F142" s="6" t="n">
        <f aca="false">MAX(0,E142-D142)</f>
        <v>457871.636498231</v>
      </c>
      <c r="G142" s="6" t="n">
        <f aca="false">MAX(0,C142+D142-E142)</f>
        <v>3466479.27796209</v>
      </c>
      <c r="H142" s="1" t="str">
        <f aca="false">IF(AND(B142&gt;04_Lease_Liability!C$95,B142&lt;=04_Lease_Liability!C$95+365),"YES","NO")</f>
        <v>NO</v>
      </c>
      <c r="I142" s="1" t="str">
        <f aca="false">IF(ABS(C142+D142-E142-G142)&lt;=0.01,"PASS","CHECK")</f>
        <v>PASS</v>
      </c>
    </row>
    <row r="143" customFormat="false" ht="15" hidden="false" customHeight="true" outlineLevel="0" collapsed="false">
      <c r="A143" s="1" t="s">
        <v>104</v>
      </c>
      <c r="B143" s="7" t="n">
        <v>46844</v>
      </c>
      <c r="C143" s="6" t="n">
        <f aca="false">G142</f>
        <v>3466479.27796209</v>
      </c>
      <c r="D143" s="6" t="n">
        <f aca="false">C143*((1+01_Lease_Master!$P$15)^((B143-B142)/365)-1)</f>
        <v>77308.0737949746</v>
      </c>
      <c r="E143" s="6" t="n">
        <f aca="false">SUMIFS(02_Payment_Schedule!E:E,02_Payment_Schedule!A:A,A143,02_Payment_Schedule!D:D,B143)</f>
        <v>562754.405</v>
      </c>
      <c r="F143" s="6" t="n">
        <f aca="false">MAX(0,E143-D143)</f>
        <v>485446.331205025</v>
      </c>
      <c r="G143" s="6" t="n">
        <f aca="false">MAX(0,C143+D143-E143)</f>
        <v>2981032.94675707</v>
      </c>
      <c r="H143" s="1" t="str">
        <f aca="false">IF(AND(B143&gt;04_Lease_Liability!C$95,B143&lt;=04_Lease_Liability!C$95+365),"YES","NO")</f>
        <v>NO</v>
      </c>
      <c r="I143" s="1" t="str">
        <f aca="false">IF(ABS(C143+D143-E143-G143)&lt;=0.01,"PASS","CHECK")</f>
        <v>PASS</v>
      </c>
    </row>
    <row r="144" customFormat="false" ht="15" hidden="false" customHeight="true" outlineLevel="0" collapsed="false">
      <c r="A144" s="1" t="s">
        <v>104</v>
      </c>
      <c r="B144" s="7" t="n">
        <v>46935</v>
      </c>
      <c r="C144" s="6" t="n">
        <f aca="false">G143</f>
        <v>2981032.94675707</v>
      </c>
      <c r="D144" s="6" t="n">
        <f aca="false">C144*((1+01_Lease_Master!$P$15)^((B144-B143)/365)-1)</f>
        <v>66481.8383592444</v>
      </c>
      <c r="E144" s="6" t="n">
        <f aca="false">SUMIFS(02_Payment_Schedule!E:E,02_Payment_Schedule!A:A,A144,02_Payment_Schedule!D:D,B144)</f>
        <v>562754.405</v>
      </c>
      <c r="F144" s="6" t="n">
        <f aca="false">MAX(0,E144-D144)</f>
        <v>496272.566640756</v>
      </c>
      <c r="G144" s="6" t="n">
        <f aca="false">MAX(0,C144+D144-E144)</f>
        <v>2484760.38011631</v>
      </c>
      <c r="H144" s="1" t="str">
        <f aca="false">IF(AND(B144&gt;04_Lease_Liability!C$95,B144&lt;=04_Lease_Liability!C$95+365),"YES","NO")</f>
        <v>NO</v>
      </c>
      <c r="I144" s="1" t="str">
        <f aca="false">IF(ABS(C144+D144-E144-G144)&lt;=0.01,"PASS","CHECK")</f>
        <v>PASS</v>
      </c>
    </row>
    <row r="145" customFormat="false" ht="15" hidden="false" customHeight="true" outlineLevel="0" collapsed="false">
      <c r="A145" s="1" t="s">
        <v>104</v>
      </c>
      <c r="B145" s="7" t="n">
        <v>47027</v>
      </c>
      <c r="C145" s="6" t="n">
        <f aca="false">G144</f>
        <v>2484760.38011631</v>
      </c>
      <c r="D145" s="6" t="n">
        <f aca="false">C145*((1+01_Lease_Master!$P$15)^((B145-B144)/365)-1)</f>
        <v>56029.9221921378</v>
      </c>
      <c r="E145" s="6" t="n">
        <f aca="false">SUMIFS(02_Payment_Schedule!E:E,02_Payment_Schedule!A:A,A145,02_Payment_Schedule!D:D,B145)</f>
        <v>562754.405</v>
      </c>
      <c r="F145" s="6" t="n">
        <f aca="false">MAX(0,E145-D145)</f>
        <v>506724.482807862</v>
      </c>
      <c r="G145" s="6" t="n">
        <f aca="false">MAX(0,C145+D145-E145)</f>
        <v>1978035.89730845</v>
      </c>
      <c r="H145" s="1" t="str">
        <f aca="false">IF(AND(B145&gt;04_Lease_Liability!C$95,B145&lt;=04_Lease_Liability!C$95+365),"YES","NO")</f>
        <v>NO</v>
      </c>
      <c r="I145" s="1" t="str">
        <f aca="false">IF(ABS(C145+D145-E145-G145)&lt;=0.01,"PASS","CHECK")</f>
        <v>PASS</v>
      </c>
    </row>
    <row r="146" customFormat="false" ht="15" hidden="false" customHeight="true" outlineLevel="0" collapsed="false">
      <c r="A146" s="1" t="s">
        <v>104</v>
      </c>
      <c r="B146" s="7" t="n">
        <v>47119</v>
      </c>
      <c r="C146" s="6" t="n">
        <f aca="false">G145</f>
        <v>1978035.89730845</v>
      </c>
      <c r="D146" s="6" t="n">
        <f aca="false">C146*((1+01_Lease_Master!$P$15)^((B146-B145)/365)-1)</f>
        <v>44603.5755827127</v>
      </c>
      <c r="E146" s="6" t="n">
        <f aca="false">SUMIFS(02_Payment_Schedule!E:E,02_Payment_Schedule!A:A,A146,02_Payment_Schedule!D:D,B146)</f>
        <v>562754.405</v>
      </c>
      <c r="F146" s="6" t="n">
        <f aca="false">MAX(0,E146-D146)</f>
        <v>518150.829417287</v>
      </c>
      <c r="G146" s="6" t="n">
        <f aca="false">MAX(0,C146+D146-E146)</f>
        <v>1459885.06789116</v>
      </c>
      <c r="H146" s="1" t="str">
        <f aca="false">IF(AND(B146&gt;04_Lease_Liability!C$95,B146&lt;=04_Lease_Liability!C$95+365),"YES","NO")</f>
        <v>NO</v>
      </c>
      <c r="I146" s="1" t="str">
        <f aca="false">IF(ABS(C146+D146-E146-G146)&lt;=0.01,"PASS","CHECK")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4" min="3" style="1" width="45"/>
    <col collapsed="false" customWidth="true" hidden="false" outlineLevel="0" max="5" min="5" style="1" width="12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165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3</v>
      </c>
      <c r="C5" s="4" t="s">
        <v>166</v>
      </c>
      <c r="D5" s="4" t="s">
        <v>167</v>
      </c>
      <c r="E5" s="4" t="s">
        <v>168</v>
      </c>
      <c r="F5" s="4" t="s">
        <v>8</v>
      </c>
    </row>
    <row r="6" customFormat="false" ht="15" hidden="false" customHeight="true" outlineLevel="0" collapsed="false">
      <c r="A6" s="1" t="s">
        <v>65</v>
      </c>
      <c r="B6" s="7" t="n">
        <v>46271</v>
      </c>
      <c r="C6" s="1" t="n">
        <f aca="false">SUMIFS(21_Future_Liability!F:F,21_Future_Liability!A:A,A6,21_Future_Liability!H:H,"YES")</f>
        <v>0</v>
      </c>
      <c r="D6" s="1" t="n">
        <f aca="false">MAX(0,SUMIFS(04_Lease_Liability!H:H,04_Lease_Liability!A:A,A6,04_Lease_Liability!B:B,"REPORTING")-C6)</f>
        <v>0</v>
      </c>
      <c r="E6" s="1" t="n">
        <f aca="false">C6+D6</f>
        <v>0</v>
      </c>
      <c r="F6" s="1" t="str">
        <f aca="false">IF(ABS(E6-ROUND(SUMIFS(04_Lease_Liability!H:H,04_Lease_Liability!A:A,A6,04_Lease_Liability!B:B,"REPORTING"),2))&lt;=0.01,"PASS","CHECK")</f>
        <v>PASS</v>
      </c>
    </row>
    <row r="7" customFormat="false" ht="15" hidden="false" customHeight="true" outlineLevel="0" collapsed="false">
      <c r="A7" s="1" t="s">
        <v>74</v>
      </c>
      <c r="B7" s="7" t="n">
        <v>46271</v>
      </c>
      <c r="C7" s="1" t="n">
        <f aca="false">SUMIFS(21_Future_Liability!F:F,21_Future_Liability!A:A,A7,21_Future_Liability!H:H,"YES")</f>
        <v>983047.070263563</v>
      </c>
      <c r="D7" s="1" t="n">
        <f aca="false">MAX(0,SUMIFS(04_Lease_Liability!H:H,04_Lease_Liability!A:A,A7,04_Lease_Liability!B:B,"REPORTING")-C7)</f>
        <v>5054684.04776725</v>
      </c>
      <c r="E7" s="1" t="n">
        <f aca="false">C7+D7</f>
        <v>6037731.11803082</v>
      </c>
      <c r="F7" s="1" t="str">
        <f aca="false">IF(ABS(E7-ROUND(SUMIFS(04_Lease_Liability!H:H,04_Lease_Liability!A:A,A7,04_Lease_Liability!B:B,"REPORTING"),2))&lt;=0.01,"PASS","CHECK")</f>
        <v>PASS</v>
      </c>
    </row>
    <row r="8" customFormat="false" ht="15" hidden="false" customHeight="true" outlineLevel="0" collapsed="false">
      <c r="A8" s="1" t="s">
        <v>80</v>
      </c>
      <c r="B8" s="7" t="n">
        <v>46271</v>
      </c>
      <c r="C8" s="1" t="n">
        <f aca="false">SUMIFS(21_Future_Liability!F:F,21_Future_Liability!A:A,A8,21_Future_Liability!H:H,"YES")</f>
        <v>129934.350700882</v>
      </c>
      <c r="D8" s="1" t="n">
        <f aca="false">MAX(0,SUMIFS(04_Lease_Liability!H:H,04_Lease_Liability!A:A,A8,04_Lease_Liability!B:B,"REPORTING")-C8)</f>
        <v>684139.640270821</v>
      </c>
      <c r="E8" s="1" t="n">
        <f aca="false">C8+D8</f>
        <v>814073.990971703</v>
      </c>
      <c r="F8" s="1" t="str">
        <f aca="false">IF(ABS(E8-ROUND(SUMIFS(04_Lease_Liability!H:H,04_Lease_Liability!A:A,A8,04_Lease_Liability!B:B,"REPORTING"),2))&lt;=0.01,"PASS","CHECK")</f>
        <v>PASS</v>
      </c>
    </row>
    <row r="9" customFormat="false" ht="15" hidden="false" customHeight="true" outlineLevel="0" collapsed="false">
      <c r="A9" s="1" t="s">
        <v>84</v>
      </c>
      <c r="B9" s="7" t="n">
        <v>46271</v>
      </c>
      <c r="C9" s="1" t="n">
        <f aca="false">SUMIFS(21_Future_Liability!F:F,21_Future_Liability!A:A,A9,21_Future_Liability!H:H,"YES")</f>
        <v>421966.860980871</v>
      </c>
      <c r="D9" s="1" t="n">
        <f aca="false">MAX(0,SUMIFS(04_Lease_Liability!H:H,04_Lease_Liability!A:A,A9,04_Lease_Liability!B:B,"REPORTING")-C9)</f>
        <v>401096.419983539</v>
      </c>
      <c r="E9" s="1" t="n">
        <f aca="false">C9+D9</f>
        <v>823063.280964409</v>
      </c>
      <c r="F9" s="1" t="str">
        <f aca="false">IF(ABS(E9-ROUND(SUMIFS(04_Lease_Liability!H:H,04_Lease_Liability!A:A,A9,04_Lease_Liability!B:B,"REPORTING"),2))&lt;=0.01,"PASS","CHECK")</f>
        <v>PASS</v>
      </c>
    </row>
    <row r="10" customFormat="false" ht="15" hidden="false" customHeight="true" outlineLevel="0" collapsed="false">
      <c r="A10" s="1" t="s">
        <v>88</v>
      </c>
      <c r="B10" s="7" t="n">
        <v>46271</v>
      </c>
      <c r="C10" s="1" t="n">
        <f aca="false">SUMIFS(21_Future_Liability!F:F,21_Future_Liability!A:A,A10,21_Future_Liability!H:H,"YES")</f>
        <v>0</v>
      </c>
      <c r="D10" s="1" t="n">
        <f aca="false">MAX(0,SUMIFS(04_Lease_Liability!H:H,04_Lease_Liability!A:A,A10,04_Lease_Liability!B:B,"REPORTING")-C10)</f>
        <v>2194175.66771186</v>
      </c>
      <c r="E10" s="1" t="n">
        <f aca="false">C10+D10</f>
        <v>2194175.66771186</v>
      </c>
      <c r="F10" s="1" t="str">
        <f aca="false">IF(ABS(E10-ROUND(SUMIFS(04_Lease_Liability!H:H,04_Lease_Liability!A:A,A10,04_Lease_Liability!B:B,"REPORTING"),2))&lt;=0.01,"PASS","CHECK")</f>
        <v>PASS</v>
      </c>
    </row>
    <row r="11" customFormat="false" ht="15" hidden="false" customHeight="true" outlineLevel="0" collapsed="false">
      <c r="A11" s="1" t="s">
        <v>91</v>
      </c>
      <c r="B11" s="7" t="n">
        <v>46271</v>
      </c>
      <c r="C11" s="1" t="n">
        <f aca="false">SUMIFS(21_Future_Liability!F:F,21_Future_Liability!A:A,A11,21_Future_Liability!H:H,"YES")</f>
        <v>351067.542329135</v>
      </c>
      <c r="D11" s="1" t="n">
        <f aca="false">MAX(0,SUMIFS(04_Lease_Liability!H:H,04_Lease_Liability!A:A,A11,04_Lease_Liability!B:B,"REPORTING")-C11)</f>
        <v>2945816.03472274</v>
      </c>
      <c r="E11" s="1" t="n">
        <f aca="false">C11+D11</f>
        <v>3296883.57705188</v>
      </c>
      <c r="F11" s="1" t="str">
        <f aca="false">IF(ABS(E11-ROUND(SUMIFS(04_Lease_Liability!H:H,04_Lease_Liability!A:A,A11,04_Lease_Liability!B:B,"REPORTING"),2))&lt;=0.01,"PASS","CHECK")</f>
        <v>PASS</v>
      </c>
    </row>
    <row r="12" customFormat="false" ht="15" hidden="false" customHeight="true" outlineLevel="0" collapsed="false">
      <c r="A12" s="1" t="s">
        <v>94</v>
      </c>
      <c r="B12" s="7" t="n">
        <v>46271</v>
      </c>
      <c r="C12" s="1" t="n">
        <f aca="false">SUMIFS(21_Future_Liability!F:F,21_Future_Liability!A:A,A12,21_Future_Liability!H:H,"YES")</f>
        <v>425479.455552367</v>
      </c>
      <c r="D12" s="1" t="n">
        <f aca="false">MAX(0,SUMIFS(04_Lease_Liability!H:H,04_Lease_Liability!A:A,A12,04_Lease_Liability!B:B,"REPORTING")-C12)</f>
        <v>941799.675221474</v>
      </c>
      <c r="E12" s="1" t="n">
        <f aca="false">C12+D12</f>
        <v>1367279.13077384</v>
      </c>
      <c r="F12" s="1" t="str">
        <f aca="false">IF(ABS(E12-ROUND(SUMIFS(04_Lease_Liability!H:H,04_Lease_Liability!A:A,A12,04_Lease_Liability!B:B,"REPORTING"),2))&lt;=0.01,"PASS","CHECK")</f>
        <v>PASS</v>
      </c>
    </row>
    <row r="13" customFormat="false" ht="15" hidden="false" customHeight="true" outlineLevel="0" collapsed="false">
      <c r="A13" s="1" t="s">
        <v>97</v>
      </c>
      <c r="B13" s="7" t="n">
        <v>46271</v>
      </c>
      <c r="C13" s="1" t="n">
        <f aca="false">SUMIFS(21_Future_Liability!F:F,21_Future_Liability!A:A,A13,21_Future_Liability!H:H,"YES")</f>
        <v>0</v>
      </c>
      <c r="D13" s="1" t="n">
        <f aca="false">MAX(0,SUMIFS(04_Lease_Liability!H:H,04_Lease_Liability!A:A,A13,04_Lease_Liability!B:B,"REPORTING")-C13)</f>
        <v>17535.3958939827</v>
      </c>
      <c r="E13" s="1" t="n">
        <f aca="false">C13+D13</f>
        <v>17535.3958939827</v>
      </c>
      <c r="F13" s="1" t="str">
        <f aca="false">IF(ABS(E13-ROUND(SUMIFS(04_Lease_Liability!H:H,04_Lease_Liability!A:A,A13,04_Lease_Liability!B:B,"REPORTING"),2))&lt;=0.01,"PASS","CHECK")</f>
        <v>PASS</v>
      </c>
    </row>
    <row r="14" customFormat="false" ht="15" hidden="false" customHeight="true" outlineLevel="0" collapsed="false">
      <c r="A14" s="1" t="s">
        <v>101</v>
      </c>
      <c r="B14" s="7" t="n">
        <v>46271</v>
      </c>
      <c r="C14" s="1" t="n">
        <f aca="false">SUMIFS(21_Future_Liability!F:F,21_Future_Liability!A:A,A14,21_Future_Liability!H:H,"YES")</f>
        <v>256794.247429621</v>
      </c>
      <c r="D14" s="1" t="n">
        <f aca="false">MAX(0,SUMIFS(04_Lease_Liability!H:H,04_Lease_Liability!A:A,A14,04_Lease_Liability!B:B,"REPORTING")-C14)</f>
        <v>3167979.2600806</v>
      </c>
      <c r="E14" s="1" t="n">
        <f aca="false">C14+D14</f>
        <v>3424773.50751022</v>
      </c>
      <c r="F14" s="1" t="str">
        <f aca="false">IF(ABS(E14-ROUND(SUMIFS(04_Lease_Liability!H:H,04_Lease_Liability!A:A,A14,04_Lease_Liability!B:B,"REPORTING"),2))&lt;=0.01,"PASS","CHECK")</f>
        <v>PASS</v>
      </c>
    </row>
    <row r="15" customFormat="false" ht="15" hidden="false" customHeight="true" outlineLevel="0" collapsed="false">
      <c r="A15" s="1" t="s">
        <v>104</v>
      </c>
      <c r="B15" s="7" t="n">
        <v>46271</v>
      </c>
      <c r="C15" s="1" t="n">
        <f aca="false">SUMIFS(21_Future_Liability!F:F,21_Future_Liability!A:A,A15,21_Future_Liability!H:H,"YES")</f>
        <v>0</v>
      </c>
      <c r="D15" s="1" t="n">
        <f aca="false">MAX(0,SUMIFS(04_Lease_Liability!H:H,04_Lease_Liability!A:A,A15,04_Lease_Liability!B:B,"REPORTING")-C15)</f>
        <v>4949596.79115502</v>
      </c>
      <c r="E15" s="1" t="n">
        <f aca="false">C15+D15</f>
        <v>4949596.79115502</v>
      </c>
      <c r="F15" s="1" t="str">
        <f aca="false">IF(ABS(E15-ROUND(SUMIFS(04_Lease_Liability!H:H,04_Lease_Liability!A:A,A15,04_Lease_Liability!B:B,"REPORTING"),2))&lt;=0.01,"PASS","CHECK")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45"/>
    <col collapsed="false" customWidth="true" hidden="false" outlineLevel="0" max="5" min="4" style="1" width="34"/>
    <col collapsed="false" customWidth="true" hidden="false" outlineLevel="0" max="7" min="6" style="1" width="12"/>
    <col collapsed="false" customWidth="true" hidden="false" outlineLevel="0" max="8" min="8" style="1" width="42"/>
  </cols>
  <sheetData>
    <row r="1" customFormat="false" ht="17.25" hidden="false" customHeight="true" outlineLevel="0" collapsed="false">
      <c r="A1" s="2" t="s">
        <v>169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147</v>
      </c>
      <c r="C5" s="4" t="s">
        <v>170</v>
      </c>
      <c r="D5" s="4" t="s">
        <v>171</v>
      </c>
      <c r="E5" s="4" t="s">
        <v>172</v>
      </c>
      <c r="F5" s="4" t="s">
        <v>173</v>
      </c>
      <c r="G5" s="4" t="s">
        <v>174</v>
      </c>
      <c r="H5" s="4" t="s">
        <v>144</v>
      </c>
    </row>
    <row r="6" customFormat="false" ht="15" hidden="false" customHeight="true" outlineLevel="0" collapsed="false">
      <c r="A6" s="1" t="s">
        <v>65</v>
      </c>
      <c r="B6" s="7" t="s">
        <v>175</v>
      </c>
      <c r="C6" s="1" t="s">
        <v>176</v>
      </c>
      <c r="D6" s="1" t="s">
        <v>177</v>
      </c>
      <c r="E6" s="1" t="s">
        <v>178</v>
      </c>
      <c r="F6" s="1" t="n">
        <v>5574738.89</v>
      </c>
      <c r="G6" s="1" t="n">
        <v>5574738.89</v>
      </c>
      <c r="H6" s="1" t="str">
        <f aca="false">IF(ABS(F6-G6)&lt;=0.01,"PASS","CHECK")</f>
        <v>PASS</v>
      </c>
    </row>
    <row r="7" customFormat="false" ht="15" hidden="false" customHeight="true" outlineLevel="0" collapsed="false">
      <c r="A7" s="1" t="s">
        <v>65</v>
      </c>
      <c r="B7" s="7" t="s">
        <v>175</v>
      </c>
      <c r="C7" s="1" t="s">
        <v>179</v>
      </c>
      <c r="D7" s="1" t="s">
        <v>177</v>
      </c>
      <c r="E7" s="1" t="s">
        <v>180</v>
      </c>
      <c r="F7" s="1" t="n">
        <v>50000</v>
      </c>
      <c r="G7" s="1" t="n">
        <v>50000</v>
      </c>
      <c r="H7" s="1" t="str">
        <f aca="false">IF(ABS(F7-G7)&lt;=0.01,"PASS","CHECK")</f>
        <v>PASS</v>
      </c>
    </row>
    <row r="8" customFormat="false" ht="15" hidden="false" customHeight="true" outlineLevel="0" collapsed="false">
      <c r="A8" s="1" t="s">
        <v>65</v>
      </c>
      <c r="B8" s="7" t="s">
        <v>175</v>
      </c>
      <c r="C8" s="1" t="s">
        <v>181</v>
      </c>
      <c r="D8" s="1" t="s">
        <v>177</v>
      </c>
      <c r="E8" s="1" t="s">
        <v>182</v>
      </c>
      <c r="F8" s="1" t="n">
        <v>544466.56</v>
      </c>
      <c r="G8" s="1" t="n">
        <v>544466.56</v>
      </c>
      <c r="H8" s="1" t="str">
        <f aca="false">IF(ABS(F8-G8)&lt;=0.01,"PASS","CHECK")</f>
        <v>PASS</v>
      </c>
    </row>
    <row r="9" customFormat="false" ht="15" hidden="false" customHeight="true" outlineLevel="0" collapsed="false">
      <c r="A9" s="1" t="s">
        <v>65</v>
      </c>
      <c r="B9" s="7" t="n">
        <v>44652</v>
      </c>
      <c r="C9" s="1" t="s">
        <v>183</v>
      </c>
      <c r="D9" s="1" t="s">
        <v>178</v>
      </c>
      <c r="E9" s="1" t="s">
        <v>180</v>
      </c>
      <c r="F9" s="1" t="n">
        <v>1200000</v>
      </c>
      <c r="G9" s="1" t="n">
        <v>1200000</v>
      </c>
      <c r="H9" s="1" t="str">
        <f aca="false">IF(ABS(F9-G9)&lt;=0.01,"PASS","CHECK")</f>
        <v>PASS</v>
      </c>
    </row>
    <row r="10" customFormat="false" ht="15" hidden="false" customHeight="true" outlineLevel="0" collapsed="false">
      <c r="A10" s="1" t="s">
        <v>65</v>
      </c>
      <c r="B10" s="7" t="n">
        <v>45017</v>
      </c>
      <c r="C10" s="1" t="s">
        <v>184</v>
      </c>
      <c r="D10" s="1" t="s">
        <v>185</v>
      </c>
      <c r="E10" s="1" t="s">
        <v>178</v>
      </c>
      <c r="F10" s="1" t="n">
        <v>393726.5</v>
      </c>
      <c r="G10" s="1" t="n">
        <v>393726.5</v>
      </c>
      <c r="H10" s="1" t="str">
        <f aca="false">IF(ABS(F10-G10)&lt;=0.01,"PASS","CHECK")</f>
        <v>PASS</v>
      </c>
    </row>
    <row r="11" customFormat="false" ht="15" hidden="false" customHeight="true" outlineLevel="0" collapsed="false">
      <c r="A11" s="1" t="s">
        <v>65</v>
      </c>
      <c r="B11" s="7" t="n">
        <v>45017</v>
      </c>
      <c r="C11" s="1" t="s">
        <v>183</v>
      </c>
      <c r="D11" s="1" t="s">
        <v>178</v>
      </c>
      <c r="E11" s="1" t="s">
        <v>180</v>
      </c>
      <c r="F11" s="1" t="n">
        <v>1260000</v>
      </c>
      <c r="G11" s="1" t="n">
        <v>1260000</v>
      </c>
      <c r="H11" s="1" t="str">
        <f aca="false">IF(ABS(F11-G11)&lt;=0.01,"PASS","CHECK")</f>
        <v>PASS</v>
      </c>
    </row>
    <row r="12" customFormat="false" ht="15" hidden="false" customHeight="true" outlineLevel="0" collapsed="false">
      <c r="A12" s="1" t="s">
        <v>65</v>
      </c>
      <c r="B12" s="7" t="n">
        <v>45383</v>
      </c>
      <c r="C12" s="1" t="s">
        <v>184</v>
      </c>
      <c r="D12" s="1" t="s">
        <v>185</v>
      </c>
      <c r="E12" s="1" t="s">
        <v>178</v>
      </c>
      <c r="F12" s="1" t="n">
        <v>316664.9</v>
      </c>
      <c r="G12" s="1" t="n">
        <v>316664.9</v>
      </c>
      <c r="H12" s="1" t="str">
        <f aca="false">IF(ABS(F12-G12)&lt;=0.01,"PASS","CHECK")</f>
        <v>PASS</v>
      </c>
    </row>
    <row r="13" customFormat="false" ht="15" hidden="false" customHeight="true" outlineLevel="0" collapsed="false">
      <c r="A13" s="1" t="s">
        <v>65</v>
      </c>
      <c r="B13" s="7" t="n">
        <v>45383</v>
      </c>
      <c r="C13" s="1" t="s">
        <v>183</v>
      </c>
      <c r="D13" s="1" t="s">
        <v>178</v>
      </c>
      <c r="E13" s="1" t="s">
        <v>180</v>
      </c>
      <c r="F13" s="1" t="n">
        <v>1323000</v>
      </c>
      <c r="G13" s="1" t="n">
        <v>1323000</v>
      </c>
      <c r="H13" s="1" t="str">
        <f aca="false">IF(ABS(F13-G13)&lt;=0.01,"PASS","CHECK")</f>
        <v>PASS</v>
      </c>
    </row>
    <row r="14" customFormat="false" ht="15" hidden="false" customHeight="true" outlineLevel="0" collapsed="false">
      <c r="A14" s="1" t="s">
        <v>65</v>
      </c>
      <c r="B14" s="7" t="n">
        <v>45748</v>
      </c>
      <c r="C14" s="1" t="s">
        <v>184</v>
      </c>
      <c r="D14" s="1" t="s">
        <v>185</v>
      </c>
      <c r="E14" s="1" t="s">
        <v>178</v>
      </c>
      <c r="F14" s="1" t="n">
        <v>225191.73</v>
      </c>
      <c r="G14" s="1" t="n">
        <v>225191.73</v>
      </c>
      <c r="H14" s="1" t="str">
        <f aca="false">IF(ABS(F14-G14)&lt;=0.01,"PASS","CHECK")</f>
        <v>PASS</v>
      </c>
    </row>
    <row r="15" customFormat="false" ht="15" hidden="false" customHeight="true" outlineLevel="0" collapsed="false">
      <c r="A15" s="1" t="s">
        <v>65</v>
      </c>
      <c r="B15" s="7" t="n">
        <v>45748</v>
      </c>
      <c r="C15" s="1" t="s">
        <v>183</v>
      </c>
      <c r="D15" s="1" t="s">
        <v>178</v>
      </c>
      <c r="E15" s="1" t="s">
        <v>180</v>
      </c>
      <c r="F15" s="1" t="n">
        <v>1389150</v>
      </c>
      <c r="G15" s="1" t="n">
        <v>1389150</v>
      </c>
      <c r="H15" s="1" t="str">
        <f aca="false">IF(ABS(F15-G15)&lt;=0.01,"PASS","CHECK")</f>
        <v>PASS</v>
      </c>
    </row>
    <row r="16" customFormat="false" ht="15" hidden="false" customHeight="true" outlineLevel="0" collapsed="false">
      <c r="A16" s="1" t="s">
        <v>65</v>
      </c>
      <c r="B16" s="7" t="n">
        <v>46113</v>
      </c>
      <c r="C16" s="1" t="s">
        <v>184</v>
      </c>
      <c r="D16" s="1" t="s">
        <v>185</v>
      </c>
      <c r="E16" s="1" t="s">
        <v>178</v>
      </c>
      <c r="F16" s="1" t="n">
        <v>120435.48</v>
      </c>
      <c r="G16" s="1" t="n">
        <v>120435.48</v>
      </c>
      <c r="H16" s="1" t="str">
        <f aca="false">IF(ABS(F16-G16)&lt;=0.01,"PASS","CHECK")</f>
        <v>PASS</v>
      </c>
    </row>
    <row r="17" customFormat="false" ht="15" hidden="false" customHeight="true" outlineLevel="0" collapsed="false">
      <c r="A17" s="1" t="s">
        <v>65</v>
      </c>
      <c r="B17" s="7" t="n">
        <v>46113</v>
      </c>
      <c r="C17" s="1" t="s">
        <v>183</v>
      </c>
      <c r="D17" s="1" t="s">
        <v>178</v>
      </c>
      <c r="E17" s="1" t="s">
        <v>180</v>
      </c>
      <c r="F17" s="1" t="n">
        <v>1458607.5</v>
      </c>
      <c r="G17" s="1" t="n">
        <v>1458607.5</v>
      </c>
      <c r="H17" s="1" t="str">
        <f aca="false">IF(ABS(F17-G17)&lt;=0.01,"PASS","CHECK")</f>
        <v>PASS</v>
      </c>
    </row>
    <row r="18" customFormat="false" ht="15" hidden="false" customHeight="true" outlineLevel="0" collapsed="false">
      <c r="A18" s="1" t="s">
        <v>65</v>
      </c>
      <c r="B18" s="7" t="n">
        <v>44652</v>
      </c>
      <c r="C18" s="1" t="s">
        <v>149</v>
      </c>
      <c r="D18" s="1" t="s">
        <v>186</v>
      </c>
      <c r="E18" s="1" t="s">
        <v>187</v>
      </c>
      <c r="F18" s="1" t="n">
        <v>104083.8</v>
      </c>
      <c r="G18" s="1" t="n">
        <v>104083.8</v>
      </c>
      <c r="H18" s="1" t="str">
        <f aca="false">IF(ABS(F18-G18)&lt;=0.01,"PASS","CHECK")</f>
        <v>PASS</v>
      </c>
    </row>
    <row r="19" customFormat="false" ht="15" hidden="false" customHeight="true" outlineLevel="0" collapsed="false">
      <c r="A19" s="1" t="s">
        <v>65</v>
      </c>
      <c r="B19" s="7" t="n">
        <v>44682</v>
      </c>
      <c r="C19" s="1" t="s">
        <v>149</v>
      </c>
      <c r="D19" s="1" t="s">
        <v>186</v>
      </c>
      <c r="E19" s="1" t="s">
        <v>187</v>
      </c>
      <c r="F19" s="1" t="n">
        <v>104083.8</v>
      </c>
      <c r="G19" s="1" t="n">
        <v>104083.8</v>
      </c>
      <c r="H19" s="1" t="str">
        <f aca="false">IF(ABS(F19-G19)&lt;=0.01,"PASS","CHECK")</f>
        <v>PASS</v>
      </c>
    </row>
    <row r="20" customFormat="false" ht="15" hidden="false" customHeight="true" outlineLevel="0" collapsed="false">
      <c r="A20" s="1" t="s">
        <v>65</v>
      </c>
      <c r="B20" s="7" t="n">
        <v>44713</v>
      </c>
      <c r="C20" s="1" t="s">
        <v>149</v>
      </c>
      <c r="D20" s="1" t="s">
        <v>186</v>
      </c>
      <c r="E20" s="1" t="s">
        <v>187</v>
      </c>
      <c r="F20" s="1" t="n">
        <v>104083.8</v>
      </c>
      <c r="G20" s="1" t="n">
        <v>104083.8</v>
      </c>
      <c r="H20" s="1" t="str">
        <f aca="false">IF(ABS(F20-G20)&lt;=0.01,"PASS","CHECK")</f>
        <v>PASS</v>
      </c>
    </row>
    <row r="21" customFormat="false" ht="15" hidden="false" customHeight="true" outlineLevel="0" collapsed="false">
      <c r="A21" s="1" t="s">
        <v>65</v>
      </c>
      <c r="B21" s="7" t="n">
        <v>44743</v>
      </c>
      <c r="C21" s="1" t="s">
        <v>149</v>
      </c>
      <c r="D21" s="1" t="s">
        <v>186</v>
      </c>
      <c r="E21" s="1" t="s">
        <v>187</v>
      </c>
      <c r="F21" s="1" t="n">
        <v>104083.8</v>
      </c>
      <c r="G21" s="1" t="n">
        <v>104083.8</v>
      </c>
      <c r="H21" s="1" t="str">
        <f aca="false">IF(ABS(F21-G21)&lt;=0.01,"PASS","CHECK")</f>
        <v>PASS</v>
      </c>
    </row>
    <row r="22" customFormat="false" ht="15" hidden="false" customHeight="true" outlineLevel="0" collapsed="false">
      <c r="A22" s="1" t="s">
        <v>65</v>
      </c>
      <c r="B22" s="7" t="n">
        <v>44774</v>
      </c>
      <c r="C22" s="1" t="s">
        <v>149</v>
      </c>
      <c r="D22" s="1" t="s">
        <v>186</v>
      </c>
      <c r="E22" s="1" t="s">
        <v>187</v>
      </c>
      <c r="F22" s="1" t="n">
        <v>104083.8</v>
      </c>
      <c r="G22" s="1" t="n">
        <v>104083.8</v>
      </c>
      <c r="H22" s="1" t="str">
        <f aca="false">IF(ABS(F22-G22)&lt;=0.01,"PASS","CHECK")</f>
        <v>PASS</v>
      </c>
    </row>
    <row r="23" customFormat="false" ht="15" hidden="false" customHeight="true" outlineLevel="0" collapsed="false">
      <c r="A23" s="1" t="s">
        <v>65</v>
      </c>
      <c r="B23" s="7" t="n">
        <v>44805</v>
      </c>
      <c r="C23" s="1" t="s">
        <v>149</v>
      </c>
      <c r="D23" s="1" t="s">
        <v>186</v>
      </c>
      <c r="E23" s="1" t="s">
        <v>187</v>
      </c>
      <c r="F23" s="1" t="n">
        <v>104083.8</v>
      </c>
      <c r="G23" s="1" t="n">
        <v>104083.8</v>
      </c>
      <c r="H23" s="1" t="str">
        <f aca="false">IF(ABS(F23-G23)&lt;=0.01,"PASS","CHECK")</f>
        <v>PASS</v>
      </c>
    </row>
    <row r="24" customFormat="false" ht="15" hidden="false" customHeight="true" outlineLevel="0" collapsed="false">
      <c r="A24" s="1" t="s">
        <v>65</v>
      </c>
      <c r="B24" s="7" t="n">
        <v>44835</v>
      </c>
      <c r="C24" s="1" t="s">
        <v>149</v>
      </c>
      <c r="D24" s="1" t="s">
        <v>186</v>
      </c>
      <c r="E24" s="1" t="s">
        <v>187</v>
      </c>
      <c r="F24" s="1" t="n">
        <v>104083.8</v>
      </c>
      <c r="G24" s="1" t="n">
        <v>104083.8</v>
      </c>
      <c r="H24" s="1" t="str">
        <f aca="false">IF(ABS(F24-G24)&lt;=0.01,"PASS","CHECK")</f>
        <v>PASS</v>
      </c>
    </row>
    <row r="25" customFormat="false" ht="15" hidden="false" customHeight="true" outlineLevel="0" collapsed="false">
      <c r="A25" s="1" t="s">
        <v>65</v>
      </c>
      <c r="B25" s="7" t="n">
        <v>44866</v>
      </c>
      <c r="C25" s="1" t="s">
        <v>149</v>
      </c>
      <c r="D25" s="1" t="s">
        <v>186</v>
      </c>
      <c r="E25" s="1" t="s">
        <v>187</v>
      </c>
      <c r="F25" s="1" t="n">
        <v>104083.8</v>
      </c>
      <c r="G25" s="1" t="n">
        <v>104083.8</v>
      </c>
      <c r="H25" s="1" t="str">
        <f aca="false">IF(ABS(F25-G25)&lt;=0.01,"PASS","CHECK")</f>
        <v>PASS</v>
      </c>
    </row>
    <row r="26" customFormat="false" ht="15" hidden="false" customHeight="true" outlineLevel="0" collapsed="false">
      <c r="A26" s="1" t="s">
        <v>65</v>
      </c>
      <c r="B26" s="7" t="n">
        <v>44896</v>
      </c>
      <c r="C26" s="1" t="s">
        <v>149</v>
      </c>
      <c r="D26" s="1" t="s">
        <v>186</v>
      </c>
      <c r="E26" s="1" t="s">
        <v>187</v>
      </c>
      <c r="F26" s="1" t="n">
        <v>104083.8</v>
      </c>
      <c r="G26" s="1" t="n">
        <v>104083.8</v>
      </c>
      <c r="H26" s="1" t="str">
        <f aca="false">IF(ABS(F26-G26)&lt;=0.01,"PASS","CHECK")</f>
        <v>PASS</v>
      </c>
    </row>
    <row r="27" customFormat="false" ht="15" hidden="false" customHeight="true" outlineLevel="0" collapsed="false">
      <c r="A27" s="1" t="s">
        <v>65</v>
      </c>
      <c r="B27" s="7" t="n">
        <v>44927</v>
      </c>
      <c r="C27" s="1" t="s">
        <v>149</v>
      </c>
      <c r="D27" s="1" t="s">
        <v>186</v>
      </c>
      <c r="E27" s="1" t="s">
        <v>187</v>
      </c>
      <c r="F27" s="1" t="n">
        <v>104083.8</v>
      </c>
      <c r="G27" s="1" t="n">
        <v>104083.8</v>
      </c>
      <c r="H27" s="1" t="str">
        <f aca="false">IF(ABS(F27-G27)&lt;=0.01,"PASS","CHECK")</f>
        <v>PASS</v>
      </c>
    </row>
    <row r="28" customFormat="false" ht="15" hidden="false" customHeight="true" outlineLevel="0" collapsed="false">
      <c r="A28" s="1" t="s">
        <v>65</v>
      </c>
      <c r="B28" s="7" t="n">
        <v>44958</v>
      </c>
      <c r="C28" s="1" t="s">
        <v>149</v>
      </c>
      <c r="D28" s="1" t="s">
        <v>186</v>
      </c>
      <c r="E28" s="1" t="s">
        <v>187</v>
      </c>
      <c r="F28" s="1" t="n">
        <v>104083.8</v>
      </c>
      <c r="G28" s="1" t="n">
        <v>104083.8</v>
      </c>
      <c r="H28" s="1" t="str">
        <f aca="false">IF(ABS(F28-G28)&lt;=0.01,"PASS","CHECK")</f>
        <v>PASS</v>
      </c>
    </row>
    <row r="29" customFormat="false" ht="15" hidden="false" customHeight="true" outlineLevel="0" collapsed="false">
      <c r="A29" s="1" t="s">
        <v>65</v>
      </c>
      <c r="B29" s="7" t="n">
        <v>44986</v>
      </c>
      <c r="C29" s="1" t="s">
        <v>149</v>
      </c>
      <c r="D29" s="1" t="s">
        <v>186</v>
      </c>
      <c r="E29" s="1" t="s">
        <v>187</v>
      </c>
      <c r="F29" s="1" t="n">
        <v>104083.8</v>
      </c>
      <c r="G29" s="1" t="n">
        <v>104083.8</v>
      </c>
      <c r="H29" s="1" t="str">
        <f aca="false">IF(ABS(F29-G29)&lt;=0.01,"PASS","CHECK")</f>
        <v>PASS</v>
      </c>
    </row>
    <row r="30" customFormat="false" ht="15" hidden="false" customHeight="true" outlineLevel="0" collapsed="false">
      <c r="A30" s="1" t="s">
        <v>65</v>
      </c>
      <c r="B30" s="7" t="n">
        <v>45017</v>
      </c>
      <c r="C30" s="1" t="s">
        <v>149</v>
      </c>
      <c r="D30" s="1" t="s">
        <v>186</v>
      </c>
      <c r="E30" s="1" t="s">
        <v>187</v>
      </c>
      <c r="F30" s="1" t="n">
        <v>104083.8</v>
      </c>
      <c r="G30" s="1" t="n">
        <v>104083.8</v>
      </c>
      <c r="H30" s="1" t="str">
        <f aca="false">IF(ABS(F30-G30)&lt;=0.01,"PASS","CHECK")</f>
        <v>PASS</v>
      </c>
    </row>
    <row r="31" customFormat="false" ht="15" hidden="false" customHeight="true" outlineLevel="0" collapsed="false">
      <c r="A31" s="1" t="s">
        <v>65</v>
      </c>
      <c r="B31" s="7" t="n">
        <v>45047</v>
      </c>
      <c r="C31" s="1" t="s">
        <v>149</v>
      </c>
      <c r="D31" s="1" t="s">
        <v>186</v>
      </c>
      <c r="E31" s="1" t="s">
        <v>187</v>
      </c>
      <c r="F31" s="1" t="n">
        <v>104083.8</v>
      </c>
      <c r="G31" s="1" t="n">
        <v>104083.8</v>
      </c>
      <c r="H31" s="1" t="str">
        <f aca="false">IF(ABS(F31-G31)&lt;=0.01,"PASS","CHECK")</f>
        <v>PASS</v>
      </c>
    </row>
    <row r="32" customFormat="false" ht="15" hidden="false" customHeight="true" outlineLevel="0" collapsed="false">
      <c r="A32" s="1" t="s">
        <v>65</v>
      </c>
      <c r="B32" s="7" t="n">
        <v>45078</v>
      </c>
      <c r="C32" s="1" t="s">
        <v>149</v>
      </c>
      <c r="D32" s="1" t="s">
        <v>186</v>
      </c>
      <c r="E32" s="1" t="s">
        <v>187</v>
      </c>
      <c r="F32" s="1" t="n">
        <v>104083.8</v>
      </c>
      <c r="G32" s="1" t="n">
        <v>104083.8</v>
      </c>
      <c r="H32" s="1" t="str">
        <f aca="false">IF(ABS(F32-G32)&lt;=0.01,"PASS","CHECK")</f>
        <v>PASS</v>
      </c>
    </row>
    <row r="33" customFormat="false" ht="15" hidden="false" customHeight="true" outlineLevel="0" collapsed="false">
      <c r="A33" s="1" t="s">
        <v>65</v>
      </c>
      <c r="B33" s="7" t="n">
        <v>45108</v>
      </c>
      <c r="C33" s="1" t="s">
        <v>149</v>
      </c>
      <c r="D33" s="1" t="s">
        <v>186</v>
      </c>
      <c r="E33" s="1" t="s">
        <v>187</v>
      </c>
      <c r="F33" s="1" t="n">
        <v>104083.8</v>
      </c>
      <c r="G33" s="1" t="n">
        <v>104083.8</v>
      </c>
      <c r="H33" s="1" t="str">
        <f aca="false">IF(ABS(F33-G33)&lt;=0.01,"PASS","CHECK")</f>
        <v>PASS</v>
      </c>
    </row>
    <row r="34" customFormat="false" ht="15" hidden="false" customHeight="true" outlineLevel="0" collapsed="false">
      <c r="A34" s="1" t="s">
        <v>65</v>
      </c>
      <c r="B34" s="7" t="n">
        <v>45139</v>
      </c>
      <c r="C34" s="1" t="s">
        <v>149</v>
      </c>
      <c r="D34" s="1" t="s">
        <v>186</v>
      </c>
      <c r="E34" s="1" t="s">
        <v>187</v>
      </c>
      <c r="F34" s="1" t="n">
        <v>104083.8</v>
      </c>
      <c r="G34" s="1" t="n">
        <v>104083.8</v>
      </c>
      <c r="H34" s="1" t="str">
        <f aca="false">IF(ABS(F34-G34)&lt;=0.01,"PASS","CHECK")</f>
        <v>PASS</v>
      </c>
    </row>
    <row r="35" customFormat="false" ht="15" hidden="false" customHeight="true" outlineLevel="0" collapsed="false">
      <c r="A35" s="1" t="s">
        <v>65</v>
      </c>
      <c r="B35" s="7" t="n">
        <v>45170</v>
      </c>
      <c r="C35" s="1" t="s">
        <v>149</v>
      </c>
      <c r="D35" s="1" t="s">
        <v>186</v>
      </c>
      <c r="E35" s="1" t="s">
        <v>187</v>
      </c>
      <c r="F35" s="1" t="n">
        <v>104083.8</v>
      </c>
      <c r="G35" s="1" t="n">
        <v>104083.8</v>
      </c>
      <c r="H35" s="1" t="str">
        <f aca="false">IF(ABS(F35-G35)&lt;=0.01,"PASS","CHECK")</f>
        <v>PASS</v>
      </c>
    </row>
    <row r="36" customFormat="false" ht="15" hidden="false" customHeight="true" outlineLevel="0" collapsed="false">
      <c r="A36" s="1" t="s">
        <v>65</v>
      </c>
      <c r="B36" s="7" t="n">
        <v>45200</v>
      </c>
      <c r="C36" s="1" t="s">
        <v>149</v>
      </c>
      <c r="D36" s="1" t="s">
        <v>186</v>
      </c>
      <c r="E36" s="1" t="s">
        <v>187</v>
      </c>
      <c r="F36" s="1" t="n">
        <v>104083.8</v>
      </c>
      <c r="G36" s="1" t="n">
        <v>104083.8</v>
      </c>
      <c r="H36" s="1" t="str">
        <f aca="false">IF(ABS(F36-G36)&lt;=0.01,"PASS","CHECK")</f>
        <v>PASS</v>
      </c>
    </row>
    <row r="37" customFormat="false" ht="15" hidden="false" customHeight="true" outlineLevel="0" collapsed="false">
      <c r="A37" s="1" t="s">
        <v>65</v>
      </c>
      <c r="B37" s="7" t="n">
        <v>45231</v>
      </c>
      <c r="C37" s="1" t="s">
        <v>149</v>
      </c>
      <c r="D37" s="1" t="s">
        <v>186</v>
      </c>
      <c r="E37" s="1" t="s">
        <v>187</v>
      </c>
      <c r="F37" s="1" t="n">
        <v>104083.8</v>
      </c>
      <c r="G37" s="1" t="n">
        <v>104083.8</v>
      </c>
      <c r="H37" s="1" t="str">
        <f aca="false">IF(ABS(F37-G37)&lt;=0.01,"PASS","CHECK")</f>
        <v>PASS</v>
      </c>
    </row>
    <row r="38" customFormat="false" ht="15" hidden="false" customHeight="true" outlineLevel="0" collapsed="false">
      <c r="A38" s="1" t="s">
        <v>65</v>
      </c>
      <c r="B38" s="7" t="n">
        <v>45261</v>
      </c>
      <c r="C38" s="1" t="s">
        <v>149</v>
      </c>
      <c r="D38" s="1" t="s">
        <v>186</v>
      </c>
      <c r="E38" s="1" t="s">
        <v>187</v>
      </c>
      <c r="F38" s="1" t="n">
        <v>104083.8</v>
      </c>
      <c r="G38" s="1" t="n">
        <v>104083.8</v>
      </c>
      <c r="H38" s="1" t="str">
        <f aca="false">IF(ABS(F38-G38)&lt;=0.01,"PASS","CHECK")</f>
        <v>PASS</v>
      </c>
    </row>
    <row r="39" customFormat="false" ht="15" hidden="false" customHeight="true" outlineLevel="0" collapsed="false">
      <c r="A39" s="1" t="s">
        <v>65</v>
      </c>
      <c r="B39" s="7" t="n">
        <v>45292</v>
      </c>
      <c r="C39" s="1" t="s">
        <v>149</v>
      </c>
      <c r="D39" s="1" t="s">
        <v>186</v>
      </c>
      <c r="E39" s="1" t="s">
        <v>187</v>
      </c>
      <c r="F39" s="1" t="n">
        <v>104083.8</v>
      </c>
      <c r="G39" s="1" t="n">
        <v>104083.8</v>
      </c>
      <c r="H39" s="1" t="str">
        <f aca="false">IF(ABS(F39-G39)&lt;=0.01,"PASS","CHECK")</f>
        <v>PASS</v>
      </c>
    </row>
    <row r="40" customFormat="false" ht="15" hidden="false" customHeight="true" outlineLevel="0" collapsed="false">
      <c r="A40" s="1" t="s">
        <v>65</v>
      </c>
      <c r="B40" s="7" t="n">
        <v>45323</v>
      </c>
      <c r="C40" s="1" t="s">
        <v>149</v>
      </c>
      <c r="D40" s="1" t="s">
        <v>186</v>
      </c>
      <c r="E40" s="1" t="s">
        <v>187</v>
      </c>
      <c r="F40" s="1" t="n">
        <v>104083.8</v>
      </c>
      <c r="G40" s="1" t="n">
        <v>104083.8</v>
      </c>
      <c r="H40" s="1" t="str">
        <f aca="false">IF(ABS(F40-G40)&lt;=0.01,"PASS","CHECK")</f>
        <v>PASS</v>
      </c>
    </row>
    <row r="41" customFormat="false" ht="15" hidden="false" customHeight="true" outlineLevel="0" collapsed="false">
      <c r="A41" s="1" t="s">
        <v>65</v>
      </c>
      <c r="B41" s="7" t="n">
        <v>45352</v>
      </c>
      <c r="C41" s="1" t="s">
        <v>149</v>
      </c>
      <c r="D41" s="1" t="s">
        <v>186</v>
      </c>
      <c r="E41" s="1" t="s">
        <v>187</v>
      </c>
      <c r="F41" s="1" t="n">
        <v>104083.8</v>
      </c>
      <c r="G41" s="1" t="n">
        <v>104083.8</v>
      </c>
      <c r="H41" s="1" t="str">
        <f aca="false">IF(ABS(F41-G41)&lt;=0.01,"PASS","CHECK")</f>
        <v>PASS</v>
      </c>
    </row>
    <row r="42" customFormat="false" ht="15" hidden="false" customHeight="true" outlineLevel="0" collapsed="false">
      <c r="A42" s="1" t="s">
        <v>65</v>
      </c>
      <c r="B42" s="7" t="n">
        <v>45383</v>
      </c>
      <c r="C42" s="1" t="s">
        <v>149</v>
      </c>
      <c r="D42" s="1" t="s">
        <v>186</v>
      </c>
      <c r="E42" s="1" t="s">
        <v>187</v>
      </c>
      <c r="F42" s="1" t="n">
        <v>104083.8</v>
      </c>
      <c r="G42" s="1" t="n">
        <v>104083.8</v>
      </c>
      <c r="H42" s="1" t="str">
        <f aca="false">IF(ABS(F42-G42)&lt;=0.01,"PASS","CHECK")</f>
        <v>PASS</v>
      </c>
    </row>
    <row r="43" customFormat="false" ht="15" hidden="false" customHeight="true" outlineLevel="0" collapsed="false">
      <c r="A43" s="1" t="s">
        <v>65</v>
      </c>
      <c r="B43" s="7" t="n">
        <v>45413</v>
      </c>
      <c r="C43" s="1" t="s">
        <v>149</v>
      </c>
      <c r="D43" s="1" t="s">
        <v>186</v>
      </c>
      <c r="E43" s="1" t="s">
        <v>187</v>
      </c>
      <c r="F43" s="1" t="n">
        <v>104083.8</v>
      </c>
      <c r="G43" s="1" t="n">
        <v>104083.8</v>
      </c>
      <c r="H43" s="1" t="str">
        <f aca="false">IF(ABS(F43-G43)&lt;=0.01,"PASS","CHECK")</f>
        <v>PASS</v>
      </c>
    </row>
    <row r="44" customFormat="false" ht="15" hidden="false" customHeight="true" outlineLevel="0" collapsed="false">
      <c r="A44" s="1" t="s">
        <v>65</v>
      </c>
      <c r="B44" s="7" t="n">
        <v>45444</v>
      </c>
      <c r="C44" s="1" t="s">
        <v>149</v>
      </c>
      <c r="D44" s="1" t="s">
        <v>186</v>
      </c>
      <c r="E44" s="1" t="s">
        <v>187</v>
      </c>
      <c r="F44" s="1" t="n">
        <v>104083.8</v>
      </c>
      <c r="G44" s="1" t="n">
        <v>104083.8</v>
      </c>
      <c r="H44" s="1" t="str">
        <f aca="false">IF(ABS(F44-G44)&lt;=0.01,"PASS","CHECK")</f>
        <v>PASS</v>
      </c>
    </row>
    <row r="45" customFormat="false" ht="15" hidden="false" customHeight="true" outlineLevel="0" collapsed="false">
      <c r="A45" s="1" t="s">
        <v>65</v>
      </c>
      <c r="B45" s="7" t="n">
        <v>45474</v>
      </c>
      <c r="C45" s="1" t="s">
        <v>149</v>
      </c>
      <c r="D45" s="1" t="s">
        <v>186</v>
      </c>
      <c r="E45" s="1" t="s">
        <v>187</v>
      </c>
      <c r="F45" s="1" t="n">
        <v>104083.8</v>
      </c>
      <c r="G45" s="1" t="n">
        <v>104083.8</v>
      </c>
      <c r="H45" s="1" t="str">
        <f aca="false">IF(ABS(F45-G45)&lt;=0.01,"PASS","CHECK")</f>
        <v>PASS</v>
      </c>
    </row>
    <row r="46" customFormat="false" ht="15" hidden="false" customHeight="true" outlineLevel="0" collapsed="false">
      <c r="A46" s="1" t="s">
        <v>65</v>
      </c>
      <c r="B46" s="7" t="n">
        <v>45505</v>
      </c>
      <c r="C46" s="1" t="s">
        <v>149</v>
      </c>
      <c r="D46" s="1" t="s">
        <v>186</v>
      </c>
      <c r="E46" s="1" t="s">
        <v>187</v>
      </c>
      <c r="F46" s="1" t="n">
        <v>104083.8</v>
      </c>
      <c r="G46" s="1" t="n">
        <v>104083.8</v>
      </c>
      <c r="H46" s="1" t="str">
        <f aca="false">IF(ABS(F46-G46)&lt;=0.01,"PASS","CHECK")</f>
        <v>PASS</v>
      </c>
    </row>
    <row r="47" customFormat="false" ht="15" hidden="false" customHeight="true" outlineLevel="0" collapsed="false">
      <c r="A47" s="1" t="s">
        <v>65</v>
      </c>
      <c r="B47" s="7" t="n">
        <v>45536</v>
      </c>
      <c r="C47" s="1" t="s">
        <v>149</v>
      </c>
      <c r="D47" s="1" t="s">
        <v>186</v>
      </c>
      <c r="E47" s="1" t="s">
        <v>187</v>
      </c>
      <c r="F47" s="1" t="n">
        <v>104083.8</v>
      </c>
      <c r="G47" s="1" t="n">
        <v>104083.8</v>
      </c>
      <c r="H47" s="1" t="str">
        <f aca="false">IF(ABS(F47-G47)&lt;=0.01,"PASS","CHECK")</f>
        <v>PASS</v>
      </c>
    </row>
    <row r="48" customFormat="false" ht="15" hidden="false" customHeight="true" outlineLevel="0" collapsed="false">
      <c r="A48" s="1" t="s">
        <v>65</v>
      </c>
      <c r="B48" s="7" t="n">
        <v>45566</v>
      </c>
      <c r="C48" s="1" t="s">
        <v>149</v>
      </c>
      <c r="D48" s="1" t="s">
        <v>186</v>
      </c>
      <c r="E48" s="1" t="s">
        <v>187</v>
      </c>
      <c r="F48" s="1" t="n">
        <v>104083.8</v>
      </c>
      <c r="G48" s="1" t="n">
        <v>104083.8</v>
      </c>
      <c r="H48" s="1" t="str">
        <f aca="false">IF(ABS(F48-G48)&lt;=0.01,"PASS","CHECK")</f>
        <v>PASS</v>
      </c>
    </row>
    <row r="49" customFormat="false" ht="15" hidden="false" customHeight="true" outlineLevel="0" collapsed="false">
      <c r="A49" s="1" t="s">
        <v>65</v>
      </c>
      <c r="B49" s="7" t="n">
        <v>45597</v>
      </c>
      <c r="C49" s="1" t="s">
        <v>149</v>
      </c>
      <c r="D49" s="1" t="s">
        <v>186</v>
      </c>
      <c r="E49" s="1" t="s">
        <v>187</v>
      </c>
      <c r="F49" s="1" t="n">
        <v>104083.8</v>
      </c>
      <c r="G49" s="1" t="n">
        <v>104083.8</v>
      </c>
      <c r="H49" s="1" t="str">
        <f aca="false">IF(ABS(F49-G49)&lt;=0.01,"PASS","CHECK")</f>
        <v>PASS</v>
      </c>
    </row>
    <row r="50" customFormat="false" ht="15" hidden="false" customHeight="true" outlineLevel="0" collapsed="false">
      <c r="A50" s="1" t="s">
        <v>65</v>
      </c>
      <c r="B50" s="7" t="n">
        <v>45627</v>
      </c>
      <c r="C50" s="1" t="s">
        <v>149</v>
      </c>
      <c r="D50" s="1" t="s">
        <v>186</v>
      </c>
      <c r="E50" s="1" t="s">
        <v>187</v>
      </c>
      <c r="F50" s="1" t="n">
        <v>104083.8</v>
      </c>
      <c r="G50" s="1" t="n">
        <v>104083.8</v>
      </c>
      <c r="H50" s="1" t="str">
        <f aca="false">IF(ABS(F50-G50)&lt;=0.01,"PASS","CHECK")</f>
        <v>PASS</v>
      </c>
    </row>
    <row r="51" customFormat="false" ht="15" hidden="false" customHeight="true" outlineLevel="0" collapsed="false">
      <c r="A51" s="1" t="s">
        <v>65</v>
      </c>
      <c r="B51" s="7" t="n">
        <v>45658</v>
      </c>
      <c r="C51" s="1" t="s">
        <v>149</v>
      </c>
      <c r="D51" s="1" t="s">
        <v>186</v>
      </c>
      <c r="E51" s="1" t="s">
        <v>187</v>
      </c>
      <c r="F51" s="1" t="n">
        <v>104083.8</v>
      </c>
      <c r="G51" s="1" t="n">
        <v>104083.8</v>
      </c>
      <c r="H51" s="1" t="str">
        <f aca="false">IF(ABS(F51-G51)&lt;=0.01,"PASS","CHECK")</f>
        <v>PASS</v>
      </c>
    </row>
    <row r="52" customFormat="false" ht="15" hidden="false" customHeight="true" outlineLevel="0" collapsed="false">
      <c r="A52" s="1" t="s">
        <v>65</v>
      </c>
      <c r="B52" s="7" t="n">
        <v>45689</v>
      </c>
      <c r="C52" s="1" t="s">
        <v>149</v>
      </c>
      <c r="D52" s="1" t="s">
        <v>186</v>
      </c>
      <c r="E52" s="1" t="s">
        <v>187</v>
      </c>
      <c r="F52" s="1" t="n">
        <v>104083.8</v>
      </c>
      <c r="G52" s="1" t="n">
        <v>104083.8</v>
      </c>
      <c r="H52" s="1" t="str">
        <f aca="false">IF(ABS(F52-G52)&lt;=0.01,"PASS","CHECK")</f>
        <v>PASS</v>
      </c>
    </row>
    <row r="53" customFormat="false" ht="15" hidden="false" customHeight="true" outlineLevel="0" collapsed="false">
      <c r="A53" s="1" t="s">
        <v>65</v>
      </c>
      <c r="B53" s="7" t="n">
        <v>45717</v>
      </c>
      <c r="C53" s="1" t="s">
        <v>149</v>
      </c>
      <c r="D53" s="1" t="s">
        <v>186</v>
      </c>
      <c r="E53" s="1" t="s">
        <v>187</v>
      </c>
      <c r="F53" s="1" t="n">
        <v>104083.8</v>
      </c>
      <c r="G53" s="1" t="n">
        <v>104083.8</v>
      </c>
      <c r="H53" s="1" t="str">
        <f aca="false">IF(ABS(F53-G53)&lt;=0.01,"PASS","CHECK")</f>
        <v>PASS</v>
      </c>
    </row>
    <row r="54" customFormat="false" ht="15" hidden="false" customHeight="true" outlineLevel="0" collapsed="false">
      <c r="A54" s="1" t="s">
        <v>65</v>
      </c>
      <c r="B54" s="7" t="n">
        <v>45748</v>
      </c>
      <c r="C54" s="1" t="s">
        <v>149</v>
      </c>
      <c r="D54" s="1" t="s">
        <v>186</v>
      </c>
      <c r="E54" s="1" t="s">
        <v>187</v>
      </c>
      <c r="F54" s="1" t="n">
        <v>104083.8</v>
      </c>
      <c r="G54" s="1" t="n">
        <v>104083.8</v>
      </c>
      <c r="H54" s="1" t="str">
        <f aca="false">IF(ABS(F54-G54)&lt;=0.01,"PASS","CHECK")</f>
        <v>PASS</v>
      </c>
    </row>
    <row r="55" customFormat="false" ht="15" hidden="false" customHeight="true" outlineLevel="0" collapsed="false">
      <c r="A55" s="1" t="s">
        <v>65</v>
      </c>
      <c r="B55" s="7" t="n">
        <v>45778</v>
      </c>
      <c r="C55" s="1" t="s">
        <v>149</v>
      </c>
      <c r="D55" s="1" t="s">
        <v>186</v>
      </c>
      <c r="E55" s="1" t="s">
        <v>187</v>
      </c>
      <c r="F55" s="1" t="n">
        <v>104083.8</v>
      </c>
      <c r="G55" s="1" t="n">
        <v>104083.8</v>
      </c>
      <c r="H55" s="1" t="str">
        <f aca="false">IF(ABS(F55-G55)&lt;=0.01,"PASS","CHECK")</f>
        <v>PASS</v>
      </c>
    </row>
    <row r="56" customFormat="false" ht="15" hidden="false" customHeight="true" outlineLevel="0" collapsed="false">
      <c r="A56" s="1" t="s">
        <v>65</v>
      </c>
      <c r="B56" s="7" t="n">
        <v>45809</v>
      </c>
      <c r="C56" s="1" t="s">
        <v>149</v>
      </c>
      <c r="D56" s="1" t="s">
        <v>186</v>
      </c>
      <c r="E56" s="1" t="s">
        <v>187</v>
      </c>
      <c r="F56" s="1" t="n">
        <v>104083.8</v>
      </c>
      <c r="G56" s="1" t="n">
        <v>104083.8</v>
      </c>
      <c r="H56" s="1" t="str">
        <f aca="false">IF(ABS(F56-G56)&lt;=0.01,"PASS","CHECK")</f>
        <v>PASS</v>
      </c>
    </row>
    <row r="57" customFormat="false" ht="15" hidden="false" customHeight="true" outlineLevel="0" collapsed="false">
      <c r="A57" s="1" t="s">
        <v>65</v>
      </c>
      <c r="B57" s="7" t="n">
        <v>45839</v>
      </c>
      <c r="C57" s="1" t="s">
        <v>149</v>
      </c>
      <c r="D57" s="1" t="s">
        <v>186</v>
      </c>
      <c r="E57" s="1" t="s">
        <v>187</v>
      </c>
      <c r="F57" s="1" t="n">
        <v>104083.8</v>
      </c>
      <c r="G57" s="1" t="n">
        <v>104083.8</v>
      </c>
      <c r="H57" s="1" t="str">
        <f aca="false">IF(ABS(F57-G57)&lt;=0.01,"PASS","CHECK")</f>
        <v>PASS</v>
      </c>
    </row>
    <row r="58" customFormat="false" ht="15" hidden="false" customHeight="true" outlineLevel="0" collapsed="false">
      <c r="A58" s="1" t="s">
        <v>65</v>
      </c>
      <c r="B58" s="7" t="n">
        <v>45870</v>
      </c>
      <c r="C58" s="1" t="s">
        <v>149</v>
      </c>
      <c r="D58" s="1" t="s">
        <v>186</v>
      </c>
      <c r="E58" s="1" t="s">
        <v>187</v>
      </c>
      <c r="F58" s="1" t="n">
        <v>104083.8</v>
      </c>
      <c r="G58" s="1" t="n">
        <v>104083.8</v>
      </c>
      <c r="H58" s="1" t="str">
        <f aca="false">IF(ABS(F58-G58)&lt;=0.01,"PASS","CHECK")</f>
        <v>PASS</v>
      </c>
    </row>
    <row r="59" customFormat="false" ht="15" hidden="false" customHeight="true" outlineLevel="0" collapsed="false">
      <c r="A59" s="1" t="s">
        <v>65</v>
      </c>
      <c r="B59" s="7" t="n">
        <v>45901</v>
      </c>
      <c r="C59" s="1" t="s">
        <v>149</v>
      </c>
      <c r="D59" s="1" t="s">
        <v>186</v>
      </c>
      <c r="E59" s="1" t="s">
        <v>187</v>
      </c>
      <c r="F59" s="1" t="n">
        <v>104083.8</v>
      </c>
      <c r="G59" s="1" t="n">
        <v>104083.8</v>
      </c>
      <c r="H59" s="1" t="str">
        <f aca="false">IF(ABS(F59-G59)&lt;=0.01,"PASS","CHECK")</f>
        <v>PASS</v>
      </c>
    </row>
    <row r="60" customFormat="false" ht="15" hidden="false" customHeight="true" outlineLevel="0" collapsed="false">
      <c r="A60" s="1" t="s">
        <v>65</v>
      </c>
      <c r="B60" s="7" t="n">
        <v>45931</v>
      </c>
      <c r="C60" s="1" t="s">
        <v>149</v>
      </c>
      <c r="D60" s="1" t="s">
        <v>186</v>
      </c>
      <c r="E60" s="1" t="s">
        <v>187</v>
      </c>
      <c r="F60" s="1" t="n">
        <v>104083.8</v>
      </c>
      <c r="G60" s="1" t="n">
        <v>104083.8</v>
      </c>
      <c r="H60" s="1" t="str">
        <f aca="false">IF(ABS(F60-G60)&lt;=0.01,"PASS","CHECK")</f>
        <v>PASS</v>
      </c>
    </row>
    <row r="61" customFormat="false" ht="15" hidden="false" customHeight="true" outlineLevel="0" collapsed="false">
      <c r="A61" s="1" t="s">
        <v>65</v>
      </c>
      <c r="B61" s="7" t="n">
        <v>45962</v>
      </c>
      <c r="C61" s="1" t="s">
        <v>149</v>
      </c>
      <c r="D61" s="1" t="s">
        <v>186</v>
      </c>
      <c r="E61" s="1" t="s">
        <v>187</v>
      </c>
      <c r="F61" s="1" t="n">
        <v>104083.8</v>
      </c>
      <c r="G61" s="1" t="n">
        <v>104083.8</v>
      </c>
      <c r="H61" s="1" t="str">
        <f aca="false">IF(ABS(F61-G61)&lt;=0.01,"PASS","CHECK")</f>
        <v>PASS</v>
      </c>
    </row>
    <row r="62" customFormat="false" ht="15" hidden="false" customHeight="true" outlineLevel="0" collapsed="false">
      <c r="A62" s="1" t="s">
        <v>65</v>
      </c>
      <c r="B62" s="7" t="n">
        <v>45992</v>
      </c>
      <c r="C62" s="1" t="s">
        <v>149</v>
      </c>
      <c r="D62" s="1" t="s">
        <v>186</v>
      </c>
      <c r="E62" s="1" t="s">
        <v>187</v>
      </c>
      <c r="F62" s="1" t="n">
        <v>104083.8</v>
      </c>
      <c r="G62" s="1" t="n">
        <v>104083.8</v>
      </c>
      <c r="H62" s="1" t="str">
        <f aca="false">IF(ABS(F62-G62)&lt;=0.01,"PASS","CHECK")</f>
        <v>PASS</v>
      </c>
    </row>
    <row r="63" customFormat="false" ht="15" hidden="false" customHeight="true" outlineLevel="0" collapsed="false">
      <c r="A63" s="1" t="s">
        <v>65</v>
      </c>
      <c r="B63" s="7" t="n">
        <v>46023</v>
      </c>
      <c r="C63" s="1" t="s">
        <v>149</v>
      </c>
      <c r="D63" s="1" t="s">
        <v>186</v>
      </c>
      <c r="E63" s="1" t="s">
        <v>187</v>
      </c>
      <c r="F63" s="1" t="n">
        <v>104083.8</v>
      </c>
      <c r="G63" s="1" t="n">
        <v>104083.8</v>
      </c>
      <c r="H63" s="1" t="str">
        <f aca="false">IF(ABS(F63-G63)&lt;=0.01,"PASS","CHECK")</f>
        <v>PASS</v>
      </c>
    </row>
    <row r="64" customFormat="false" ht="15" hidden="false" customHeight="true" outlineLevel="0" collapsed="false">
      <c r="A64" s="1" t="s">
        <v>65</v>
      </c>
      <c r="B64" s="7" t="n">
        <v>46054</v>
      </c>
      <c r="C64" s="1" t="s">
        <v>149</v>
      </c>
      <c r="D64" s="1" t="s">
        <v>186</v>
      </c>
      <c r="E64" s="1" t="s">
        <v>187</v>
      </c>
      <c r="F64" s="1" t="n">
        <v>104083.8</v>
      </c>
      <c r="G64" s="1" t="n">
        <v>104083.8</v>
      </c>
      <c r="H64" s="1" t="str">
        <f aca="false">IF(ABS(F64-G64)&lt;=0.01,"PASS","CHECK")</f>
        <v>PASS</v>
      </c>
    </row>
    <row r="65" customFormat="false" ht="15" hidden="false" customHeight="true" outlineLevel="0" collapsed="false">
      <c r="A65" s="1" t="s">
        <v>65</v>
      </c>
      <c r="B65" s="7" t="n">
        <v>46082</v>
      </c>
      <c r="C65" s="1" t="s">
        <v>149</v>
      </c>
      <c r="D65" s="1" t="s">
        <v>186</v>
      </c>
      <c r="E65" s="1" t="s">
        <v>187</v>
      </c>
      <c r="F65" s="1" t="n">
        <v>104083.8</v>
      </c>
      <c r="G65" s="1" t="n">
        <v>104083.8</v>
      </c>
      <c r="H65" s="1" t="str">
        <f aca="false">IF(ABS(F65-G65)&lt;=0.01,"PASS","CHECK")</f>
        <v>PASS</v>
      </c>
    </row>
    <row r="66" customFormat="false" ht="15" hidden="false" customHeight="true" outlineLevel="0" collapsed="false">
      <c r="A66" s="1" t="s">
        <v>65</v>
      </c>
      <c r="B66" s="7" t="n">
        <v>46113</v>
      </c>
      <c r="C66" s="1" t="s">
        <v>149</v>
      </c>
      <c r="D66" s="1" t="s">
        <v>186</v>
      </c>
      <c r="E66" s="1" t="s">
        <v>187</v>
      </c>
      <c r="F66" s="1" t="n">
        <v>104083.8</v>
      </c>
      <c r="G66" s="1" t="n">
        <v>104083.8</v>
      </c>
      <c r="H66" s="1" t="str">
        <f aca="false">IF(ABS(F66-G66)&lt;=0.01,"PASS","CHECK")</f>
        <v>PASS</v>
      </c>
    </row>
    <row r="67" customFormat="false" ht="15" hidden="false" customHeight="true" outlineLevel="0" collapsed="false">
      <c r="A67" s="1" t="s">
        <v>65</v>
      </c>
      <c r="B67" s="7" t="n">
        <v>46143</v>
      </c>
      <c r="C67" s="1" t="s">
        <v>149</v>
      </c>
      <c r="D67" s="1" t="s">
        <v>186</v>
      </c>
      <c r="E67" s="1" t="s">
        <v>187</v>
      </c>
      <c r="F67" s="1" t="n">
        <v>104083.8</v>
      </c>
      <c r="G67" s="1" t="n">
        <v>104083.8</v>
      </c>
      <c r="H67" s="1" t="str">
        <f aca="false">IF(ABS(F67-G67)&lt;=0.01,"PASS","CHECK")</f>
        <v>PASS</v>
      </c>
    </row>
    <row r="68" customFormat="false" ht="15" hidden="false" customHeight="true" outlineLevel="0" collapsed="false">
      <c r="A68" s="1" t="s">
        <v>65</v>
      </c>
      <c r="B68" s="7" t="n">
        <v>46174</v>
      </c>
      <c r="C68" s="1" t="s">
        <v>149</v>
      </c>
      <c r="D68" s="1" t="s">
        <v>186</v>
      </c>
      <c r="E68" s="1" t="s">
        <v>187</v>
      </c>
      <c r="F68" s="1" t="n">
        <v>104083.8</v>
      </c>
      <c r="G68" s="1" t="n">
        <v>104083.8</v>
      </c>
      <c r="H68" s="1" t="str">
        <f aca="false">IF(ABS(F68-G68)&lt;=0.01,"PASS","CHECK")</f>
        <v>PASS</v>
      </c>
    </row>
    <row r="69" customFormat="false" ht="15" hidden="false" customHeight="true" outlineLevel="0" collapsed="false">
      <c r="A69" s="1" t="s">
        <v>65</v>
      </c>
      <c r="B69" s="7" t="n">
        <v>46204</v>
      </c>
      <c r="C69" s="1" t="s">
        <v>149</v>
      </c>
      <c r="D69" s="1" t="s">
        <v>186</v>
      </c>
      <c r="E69" s="1" t="s">
        <v>187</v>
      </c>
      <c r="F69" s="1" t="n">
        <v>104083.8</v>
      </c>
      <c r="G69" s="1" t="n">
        <v>104083.8</v>
      </c>
      <c r="H69" s="1" t="str">
        <f aca="false">IF(ABS(F69-G69)&lt;=0.01,"PASS","CHECK")</f>
        <v>PASS</v>
      </c>
    </row>
    <row r="70" customFormat="false" ht="15" hidden="false" customHeight="true" outlineLevel="0" collapsed="false">
      <c r="A70" s="1" t="s">
        <v>65</v>
      </c>
      <c r="B70" s="7" t="n">
        <v>46235</v>
      </c>
      <c r="C70" s="1" t="s">
        <v>149</v>
      </c>
      <c r="D70" s="1" t="s">
        <v>186</v>
      </c>
      <c r="E70" s="1" t="s">
        <v>187</v>
      </c>
      <c r="F70" s="1" t="n">
        <v>104083.8</v>
      </c>
      <c r="G70" s="1" t="n">
        <v>104083.8</v>
      </c>
      <c r="H70" s="1" t="str">
        <f aca="false">IF(ABS(F70-G70)&lt;=0.01,"PASS","CHECK")</f>
        <v>PASS</v>
      </c>
    </row>
    <row r="71" customFormat="false" ht="15" hidden="false" customHeight="true" outlineLevel="0" collapsed="false">
      <c r="A71" s="1" t="s">
        <v>65</v>
      </c>
      <c r="B71" s="7" t="n">
        <v>46266</v>
      </c>
      <c r="C71" s="1" t="s">
        <v>149</v>
      </c>
      <c r="D71" s="1" t="s">
        <v>186</v>
      </c>
      <c r="E71" s="1" t="s">
        <v>187</v>
      </c>
      <c r="F71" s="1" t="n">
        <v>104083.8</v>
      </c>
      <c r="G71" s="1" t="n">
        <v>104083.8</v>
      </c>
      <c r="H71" s="1" t="str">
        <f aca="false">IF(ABS(F71-G71)&lt;=0.01,"PASS","CHECK")</f>
        <v>PASS</v>
      </c>
    </row>
    <row r="72" customFormat="false" ht="15" hidden="false" customHeight="true" outlineLevel="0" collapsed="false">
      <c r="A72" s="1" t="s">
        <v>65</v>
      </c>
      <c r="B72" s="7" t="s">
        <v>175</v>
      </c>
      <c r="C72" s="1" t="s">
        <v>188</v>
      </c>
      <c r="D72" s="1" t="s">
        <v>189</v>
      </c>
      <c r="E72" s="1" t="s">
        <v>180</v>
      </c>
      <c r="F72" s="1" t="n">
        <v>224177.45</v>
      </c>
      <c r="G72" s="1" t="n">
        <v>224177.45</v>
      </c>
      <c r="H72" s="1" t="str">
        <f aca="false">IF(ABS(F72-G72)&lt;=0.01,"PASS","CHECK")</f>
        <v>PASS</v>
      </c>
    </row>
    <row r="73" customFormat="false" ht="15" hidden="false" customHeight="true" outlineLevel="0" collapsed="false">
      <c r="A73" s="1" t="s">
        <v>65</v>
      </c>
      <c r="B73" s="7" t="s">
        <v>175</v>
      </c>
      <c r="C73" s="1" t="s">
        <v>190</v>
      </c>
      <c r="D73" s="1" t="s">
        <v>177</v>
      </c>
      <c r="E73" s="1" t="s">
        <v>180</v>
      </c>
      <c r="F73" s="1" t="n">
        <v>75822.55</v>
      </c>
      <c r="G73" s="1" t="n">
        <v>75822.55</v>
      </c>
      <c r="H73" s="1" t="str">
        <f aca="false">IF(ABS(F73-G73)&lt;=0.01,"PASS","CHECK")</f>
        <v>PASS</v>
      </c>
    </row>
    <row r="74" customFormat="false" ht="15" hidden="false" customHeight="true" outlineLevel="0" collapsed="false">
      <c r="A74" s="1" t="s">
        <v>65</v>
      </c>
      <c r="B74" s="7" t="n">
        <v>44682</v>
      </c>
      <c r="C74" s="1" t="s">
        <v>191</v>
      </c>
      <c r="D74" s="1" t="s">
        <v>189</v>
      </c>
      <c r="E74" s="1" t="s">
        <v>156</v>
      </c>
      <c r="F74" s="1" t="n">
        <v>1076.21</v>
      </c>
      <c r="G74" s="1" t="n">
        <v>1076.21</v>
      </c>
      <c r="H74" s="1" t="str">
        <f aca="false">IF(ABS(F74-G74)&lt;=0.01,"PASS","CHECK")</f>
        <v>PASS</v>
      </c>
    </row>
    <row r="75" customFormat="false" ht="15" hidden="false" customHeight="true" outlineLevel="0" collapsed="false">
      <c r="A75" s="1" t="s">
        <v>65</v>
      </c>
      <c r="B75" s="7" t="n">
        <v>44713</v>
      </c>
      <c r="C75" s="1" t="s">
        <v>191</v>
      </c>
      <c r="D75" s="1" t="s">
        <v>189</v>
      </c>
      <c r="E75" s="1" t="s">
        <v>156</v>
      </c>
      <c r="F75" s="1" t="n">
        <v>1117.51</v>
      </c>
      <c r="G75" s="1" t="n">
        <v>1117.51</v>
      </c>
      <c r="H75" s="1" t="str">
        <f aca="false">IF(ABS(F75-G75)&lt;=0.01,"PASS","CHECK")</f>
        <v>PASS</v>
      </c>
    </row>
    <row r="76" customFormat="false" ht="15" hidden="false" customHeight="true" outlineLevel="0" collapsed="false">
      <c r="A76" s="1" t="s">
        <v>65</v>
      </c>
      <c r="B76" s="7" t="n">
        <v>44743</v>
      </c>
      <c r="C76" s="1" t="s">
        <v>191</v>
      </c>
      <c r="D76" s="1" t="s">
        <v>189</v>
      </c>
      <c r="E76" s="1" t="s">
        <v>156</v>
      </c>
      <c r="F76" s="1" t="n">
        <v>1086.74</v>
      </c>
      <c r="G76" s="1" t="n">
        <v>1086.74</v>
      </c>
      <c r="H76" s="1" t="str">
        <f aca="false">IF(ABS(F76-G76)&lt;=0.01,"PASS","CHECK")</f>
        <v>PASS</v>
      </c>
    </row>
    <row r="77" customFormat="false" ht="15" hidden="false" customHeight="true" outlineLevel="0" collapsed="false">
      <c r="A77" s="1" t="s">
        <v>65</v>
      </c>
      <c r="B77" s="7" t="n">
        <v>44774</v>
      </c>
      <c r="C77" s="1" t="s">
        <v>191</v>
      </c>
      <c r="D77" s="1" t="s">
        <v>189</v>
      </c>
      <c r="E77" s="1" t="s">
        <v>156</v>
      </c>
      <c r="F77" s="1" t="n">
        <v>1128.45</v>
      </c>
      <c r="G77" s="1" t="n">
        <v>1128.45</v>
      </c>
      <c r="H77" s="1" t="str">
        <f aca="false">IF(ABS(F77-G77)&lt;=0.01,"PASS","CHECK")</f>
        <v>PASS</v>
      </c>
    </row>
    <row r="78" customFormat="false" ht="15" hidden="false" customHeight="true" outlineLevel="0" collapsed="false">
      <c r="A78" s="1" t="s">
        <v>65</v>
      </c>
      <c r="B78" s="7" t="n">
        <v>44805</v>
      </c>
      <c r="C78" s="1" t="s">
        <v>191</v>
      </c>
      <c r="D78" s="1" t="s">
        <v>189</v>
      </c>
      <c r="E78" s="1" t="s">
        <v>156</v>
      </c>
      <c r="F78" s="1" t="n">
        <v>1134.05</v>
      </c>
      <c r="G78" s="1" t="n">
        <v>1134.05</v>
      </c>
      <c r="H78" s="1" t="str">
        <f aca="false">IF(ABS(F78-G78)&lt;=0.01,"PASS","CHECK")</f>
        <v>PASS</v>
      </c>
    </row>
    <row r="79" customFormat="false" ht="15" hidden="false" customHeight="true" outlineLevel="0" collapsed="false">
      <c r="A79" s="1" t="s">
        <v>65</v>
      </c>
      <c r="B79" s="7" t="n">
        <v>44835</v>
      </c>
      <c r="C79" s="1" t="s">
        <v>191</v>
      </c>
      <c r="D79" s="1" t="s">
        <v>189</v>
      </c>
      <c r="E79" s="1" t="s">
        <v>156</v>
      </c>
      <c r="F79" s="1" t="n">
        <v>1102.82</v>
      </c>
      <c r="G79" s="1" t="n">
        <v>1102.82</v>
      </c>
      <c r="H79" s="1" t="str">
        <f aca="false">IF(ABS(F79-G79)&lt;=0.01,"PASS","CHECK")</f>
        <v>PASS</v>
      </c>
    </row>
    <row r="80" customFormat="false" ht="15" hidden="false" customHeight="true" outlineLevel="0" collapsed="false">
      <c r="A80" s="1" t="s">
        <v>65</v>
      </c>
      <c r="B80" s="7" t="n">
        <v>44866</v>
      </c>
      <c r="C80" s="1" t="s">
        <v>191</v>
      </c>
      <c r="D80" s="1" t="s">
        <v>189</v>
      </c>
      <c r="E80" s="1" t="s">
        <v>156</v>
      </c>
      <c r="F80" s="1" t="n">
        <v>1145.14</v>
      </c>
      <c r="G80" s="1" t="n">
        <v>1145.14</v>
      </c>
      <c r="H80" s="1" t="str">
        <f aca="false">IF(ABS(F80-G80)&lt;=0.01,"PASS","CHECK")</f>
        <v>PASS</v>
      </c>
    </row>
    <row r="81" customFormat="false" ht="15" hidden="false" customHeight="true" outlineLevel="0" collapsed="false">
      <c r="A81" s="1" t="s">
        <v>65</v>
      </c>
      <c r="B81" s="7" t="n">
        <v>44896</v>
      </c>
      <c r="C81" s="1" t="s">
        <v>191</v>
      </c>
      <c r="D81" s="1" t="s">
        <v>189</v>
      </c>
      <c r="E81" s="1" t="s">
        <v>156</v>
      </c>
      <c r="F81" s="1" t="n">
        <v>1113.61</v>
      </c>
      <c r="G81" s="1" t="n">
        <v>1113.61</v>
      </c>
      <c r="H81" s="1" t="str">
        <f aca="false">IF(ABS(F81-G81)&lt;=0.01,"PASS","CHECK")</f>
        <v>PASS</v>
      </c>
    </row>
    <row r="82" customFormat="false" ht="15" hidden="false" customHeight="true" outlineLevel="0" collapsed="false">
      <c r="A82" s="1" t="s">
        <v>65</v>
      </c>
      <c r="B82" s="7" t="n">
        <v>44927</v>
      </c>
      <c r="C82" s="1" t="s">
        <v>191</v>
      </c>
      <c r="D82" s="1" t="s">
        <v>189</v>
      </c>
      <c r="E82" s="1" t="s">
        <v>156</v>
      </c>
      <c r="F82" s="1" t="n">
        <v>1156.35</v>
      </c>
      <c r="G82" s="1" t="n">
        <v>1156.35</v>
      </c>
      <c r="H82" s="1" t="str">
        <f aca="false">IF(ABS(F82-G82)&lt;=0.01,"PASS","CHECK")</f>
        <v>PASS</v>
      </c>
    </row>
    <row r="83" customFormat="false" ht="15" hidden="false" customHeight="true" outlineLevel="0" collapsed="false">
      <c r="A83" s="1" t="s">
        <v>65</v>
      </c>
      <c r="B83" s="7" t="n">
        <v>44958</v>
      </c>
      <c r="C83" s="1" t="s">
        <v>191</v>
      </c>
      <c r="D83" s="1" t="s">
        <v>189</v>
      </c>
      <c r="E83" s="1" t="s">
        <v>156</v>
      </c>
      <c r="F83" s="1" t="n">
        <v>1162.09</v>
      </c>
      <c r="G83" s="1" t="n">
        <v>1162.09</v>
      </c>
      <c r="H83" s="1" t="str">
        <f aca="false">IF(ABS(F83-G83)&lt;=0.01,"PASS","CHECK")</f>
        <v>PASS</v>
      </c>
    </row>
    <row r="84" customFormat="false" ht="15" hidden="false" customHeight="true" outlineLevel="0" collapsed="false">
      <c r="A84" s="1" t="s">
        <v>65</v>
      </c>
      <c r="B84" s="7" t="n">
        <v>44986</v>
      </c>
      <c r="C84" s="1" t="s">
        <v>191</v>
      </c>
      <c r="D84" s="1" t="s">
        <v>189</v>
      </c>
      <c r="E84" s="1" t="s">
        <v>156</v>
      </c>
      <c r="F84" s="1" t="n">
        <v>1054.58</v>
      </c>
      <c r="G84" s="1" t="n">
        <v>1054.58</v>
      </c>
      <c r="H84" s="1" t="str">
        <f aca="false">IF(ABS(F84-G84)&lt;=0.01,"PASS","CHECK")</f>
        <v>PASS</v>
      </c>
    </row>
    <row r="85" customFormat="false" ht="15" hidden="false" customHeight="true" outlineLevel="0" collapsed="false">
      <c r="A85" s="1" t="s">
        <v>65</v>
      </c>
      <c r="B85" s="7" t="n">
        <v>45017</v>
      </c>
      <c r="C85" s="1" t="s">
        <v>191</v>
      </c>
      <c r="D85" s="1" t="s">
        <v>189</v>
      </c>
      <c r="E85" s="1" t="s">
        <v>156</v>
      </c>
      <c r="F85" s="1" t="n">
        <v>1173.08</v>
      </c>
      <c r="G85" s="1" t="n">
        <v>1173.08</v>
      </c>
      <c r="H85" s="1" t="str">
        <f aca="false">IF(ABS(F85-G85)&lt;=0.01,"PASS","CHECK")</f>
        <v>PASS</v>
      </c>
    </row>
    <row r="86" customFormat="false" ht="15" hidden="false" customHeight="true" outlineLevel="0" collapsed="false">
      <c r="A86" s="1" t="s">
        <v>65</v>
      </c>
      <c r="B86" s="7" t="n">
        <v>45047</v>
      </c>
      <c r="C86" s="1" t="s">
        <v>191</v>
      </c>
      <c r="D86" s="1" t="s">
        <v>189</v>
      </c>
      <c r="E86" s="1" t="s">
        <v>156</v>
      </c>
      <c r="F86" s="1" t="n">
        <v>1140.78</v>
      </c>
      <c r="G86" s="1" t="n">
        <v>1140.78</v>
      </c>
      <c r="H86" s="1" t="str">
        <f aca="false">IF(ABS(F86-G86)&lt;=0.01,"PASS","CHECK")</f>
        <v>PASS</v>
      </c>
    </row>
    <row r="87" customFormat="false" ht="15" hidden="false" customHeight="true" outlineLevel="0" collapsed="false">
      <c r="A87" s="1" t="s">
        <v>65</v>
      </c>
      <c r="B87" s="7" t="n">
        <v>45078</v>
      </c>
      <c r="C87" s="1" t="s">
        <v>191</v>
      </c>
      <c r="D87" s="1" t="s">
        <v>189</v>
      </c>
      <c r="E87" s="1" t="s">
        <v>156</v>
      </c>
      <c r="F87" s="1" t="n">
        <v>1184.56</v>
      </c>
      <c r="G87" s="1" t="n">
        <v>1184.56</v>
      </c>
      <c r="H87" s="1" t="str">
        <f aca="false">IF(ABS(F87-G87)&lt;=0.01,"PASS","CHECK")</f>
        <v>PASS</v>
      </c>
    </row>
    <row r="88" customFormat="false" ht="15" hidden="false" customHeight="true" outlineLevel="0" collapsed="false">
      <c r="A88" s="1" t="s">
        <v>65</v>
      </c>
      <c r="B88" s="7" t="n">
        <v>45108</v>
      </c>
      <c r="C88" s="1" t="s">
        <v>191</v>
      </c>
      <c r="D88" s="1" t="s">
        <v>189</v>
      </c>
      <c r="E88" s="1" t="s">
        <v>156</v>
      </c>
      <c r="F88" s="1" t="n">
        <v>1151.95</v>
      </c>
      <c r="G88" s="1" t="n">
        <v>1151.95</v>
      </c>
      <c r="H88" s="1" t="str">
        <f aca="false">IF(ABS(F88-G88)&lt;=0.01,"PASS","CHECK")</f>
        <v>PASS</v>
      </c>
    </row>
    <row r="89" customFormat="false" ht="15" hidden="false" customHeight="true" outlineLevel="0" collapsed="false">
      <c r="A89" s="1" t="s">
        <v>65</v>
      </c>
      <c r="B89" s="7" t="n">
        <v>45139</v>
      </c>
      <c r="C89" s="1" t="s">
        <v>191</v>
      </c>
      <c r="D89" s="1" t="s">
        <v>189</v>
      </c>
      <c r="E89" s="1" t="s">
        <v>156</v>
      </c>
      <c r="F89" s="1" t="n">
        <v>1196.16</v>
      </c>
      <c r="G89" s="1" t="n">
        <v>1196.16</v>
      </c>
      <c r="H89" s="1" t="str">
        <f aca="false">IF(ABS(F89-G89)&lt;=0.01,"PASS","CHECK")</f>
        <v>PASS</v>
      </c>
    </row>
    <row r="90" customFormat="false" ht="15" hidden="false" customHeight="true" outlineLevel="0" collapsed="false">
      <c r="A90" s="1" t="s">
        <v>65</v>
      </c>
      <c r="B90" s="7" t="n">
        <v>45170</v>
      </c>
      <c r="C90" s="1" t="s">
        <v>191</v>
      </c>
      <c r="D90" s="1" t="s">
        <v>189</v>
      </c>
      <c r="E90" s="1" t="s">
        <v>156</v>
      </c>
      <c r="F90" s="1" t="n">
        <v>1202.09</v>
      </c>
      <c r="G90" s="1" t="n">
        <v>1202.09</v>
      </c>
      <c r="H90" s="1" t="str">
        <f aca="false">IF(ABS(F90-G90)&lt;=0.01,"PASS","CHECK")</f>
        <v>PASS</v>
      </c>
    </row>
    <row r="91" customFormat="false" ht="15" hidden="false" customHeight="true" outlineLevel="0" collapsed="false">
      <c r="A91" s="1" t="s">
        <v>65</v>
      </c>
      <c r="B91" s="7" t="n">
        <v>45200</v>
      </c>
      <c r="C91" s="1" t="s">
        <v>191</v>
      </c>
      <c r="D91" s="1" t="s">
        <v>189</v>
      </c>
      <c r="E91" s="1" t="s">
        <v>156</v>
      </c>
      <c r="F91" s="1" t="n">
        <v>1168.99</v>
      </c>
      <c r="G91" s="1" t="n">
        <v>1168.99</v>
      </c>
      <c r="H91" s="1" t="str">
        <f aca="false">IF(ABS(F91-G91)&lt;=0.01,"PASS","CHECK")</f>
        <v>PASS</v>
      </c>
    </row>
    <row r="92" customFormat="false" ht="15" hidden="false" customHeight="true" outlineLevel="0" collapsed="false">
      <c r="A92" s="1" t="s">
        <v>65</v>
      </c>
      <c r="B92" s="7" t="n">
        <v>45231</v>
      </c>
      <c r="C92" s="1" t="s">
        <v>191</v>
      </c>
      <c r="D92" s="1" t="s">
        <v>189</v>
      </c>
      <c r="E92" s="1" t="s">
        <v>156</v>
      </c>
      <c r="F92" s="1" t="n">
        <v>1213.85</v>
      </c>
      <c r="G92" s="1" t="n">
        <v>1213.85</v>
      </c>
      <c r="H92" s="1" t="str">
        <f aca="false">IF(ABS(F92-G92)&lt;=0.01,"PASS","CHECK")</f>
        <v>PASS</v>
      </c>
    </row>
    <row r="93" customFormat="false" ht="15" hidden="false" customHeight="true" outlineLevel="0" collapsed="false">
      <c r="A93" s="1" t="s">
        <v>65</v>
      </c>
      <c r="B93" s="7" t="n">
        <v>45261</v>
      </c>
      <c r="C93" s="1" t="s">
        <v>191</v>
      </c>
      <c r="D93" s="1" t="s">
        <v>189</v>
      </c>
      <c r="E93" s="1" t="s">
        <v>156</v>
      </c>
      <c r="F93" s="1" t="n">
        <v>1180.43</v>
      </c>
      <c r="G93" s="1" t="n">
        <v>1180.43</v>
      </c>
      <c r="H93" s="1" t="str">
        <f aca="false">IF(ABS(F93-G93)&lt;=0.01,"PASS","CHECK")</f>
        <v>PASS</v>
      </c>
    </row>
    <row r="94" customFormat="false" ht="15" hidden="false" customHeight="true" outlineLevel="0" collapsed="false">
      <c r="A94" s="1" t="s">
        <v>65</v>
      </c>
      <c r="B94" s="7" t="n">
        <v>45292</v>
      </c>
      <c r="C94" s="1" t="s">
        <v>191</v>
      </c>
      <c r="D94" s="1" t="s">
        <v>189</v>
      </c>
      <c r="E94" s="1" t="s">
        <v>156</v>
      </c>
      <c r="F94" s="1" t="n">
        <v>1225.73</v>
      </c>
      <c r="G94" s="1" t="n">
        <v>1225.73</v>
      </c>
      <c r="H94" s="1" t="str">
        <f aca="false">IF(ABS(F94-G94)&lt;=0.01,"PASS","CHECK")</f>
        <v>PASS</v>
      </c>
    </row>
    <row r="95" customFormat="false" ht="15" hidden="false" customHeight="true" outlineLevel="0" collapsed="false">
      <c r="A95" s="1" t="s">
        <v>65</v>
      </c>
      <c r="B95" s="7" t="n">
        <v>45323</v>
      </c>
      <c r="C95" s="1" t="s">
        <v>191</v>
      </c>
      <c r="D95" s="1" t="s">
        <v>189</v>
      </c>
      <c r="E95" s="1" t="s">
        <v>156</v>
      </c>
      <c r="F95" s="1" t="n">
        <v>1231.81</v>
      </c>
      <c r="G95" s="1" t="n">
        <v>1231.81</v>
      </c>
      <c r="H95" s="1" t="str">
        <f aca="false">IF(ABS(F95-G95)&lt;=0.01,"PASS","CHECK")</f>
        <v>PASS</v>
      </c>
    </row>
    <row r="96" customFormat="false" ht="15" hidden="false" customHeight="true" outlineLevel="0" collapsed="false">
      <c r="A96" s="1" t="s">
        <v>65</v>
      </c>
      <c r="B96" s="7" t="n">
        <v>45352</v>
      </c>
      <c r="C96" s="1" t="s">
        <v>191</v>
      </c>
      <c r="D96" s="1" t="s">
        <v>189</v>
      </c>
      <c r="E96" s="1" t="s">
        <v>156</v>
      </c>
      <c r="F96" s="1" t="n">
        <v>1157.87</v>
      </c>
      <c r="G96" s="1" t="n">
        <v>1157.87</v>
      </c>
      <c r="H96" s="1" t="str">
        <f aca="false">IF(ABS(F96-G96)&lt;=0.01,"PASS","CHECK")</f>
        <v>PASS</v>
      </c>
    </row>
    <row r="97" customFormat="false" ht="15" hidden="false" customHeight="true" outlineLevel="0" collapsed="false">
      <c r="A97" s="1" t="s">
        <v>65</v>
      </c>
      <c r="B97" s="7" t="n">
        <v>45383</v>
      </c>
      <c r="C97" s="1" t="s">
        <v>191</v>
      </c>
      <c r="D97" s="1" t="s">
        <v>189</v>
      </c>
      <c r="E97" s="1" t="s">
        <v>156</v>
      </c>
      <c r="F97" s="1" t="n">
        <v>1243.67</v>
      </c>
      <c r="G97" s="1" t="n">
        <v>1243.67</v>
      </c>
      <c r="H97" s="1" t="str">
        <f aca="false">IF(ABS(F97-G97)&lt;=0.01,"PASS","CHECK")</f>
        <v>PASS</v>
      </c>
    </row>
    <row r="98" customFormat="false" ht="15" hidden="false" customHeight="true" outlineLevel="0" collapsed="false">
      <c r="A98" s="1" t="s">
        <v>65</v>
      </c>
      <c r="B98" s="7" t="n">
        <v>45413</v>
      </c>
      <c r="C98" s="1" t="s">
        <v>191</v>
      </c>
      <c r="D98" s="1" t="s">
        <v>189</v>
      </c>
      <c r="E98" s="1" t="s">
        <v>156</v>
      </c>
      <c r="F98" s="1" t="n">
        <v>1209.42</v>
      </c>
      <c r="G98" s="1" t="n">
        <v>1209.42</v>
      </c>
      <c r="H98" s="1" t="str">
        <f aca="false">IF(ABS(F98-G98)&lt;=0.01,"PASS","CHECK")</f>
        <v>PASS</v>
      </c>
    </row>
    <row r="99" customFormat="false" ht="15" hidden="false" customHeight="true" outlineLevel="0" collapsed="false">
      <c r="A99" s="1" t="s">
        <v>65</v>
      </c>
      <c r="B99" s="7" t="n">
        <v>45444</v>
      </c>
      <c r="C99" s="1" t="s">
        <v>191</v>
      </c>
      <c r="D99" s="1" t="s">
        <v>189</v>
      </c>
      <c r="E99" s="1" t="s">
        <v>156</v>
      </c>
      <c r="F99" s="1" t="n">
        <v>1255.84</v>
      </c>
      <c r="G99" s="1" t="n">
        <v>1255.84</v>
      </c>
      <c r="H99" s="1" t="str">
        <f aca="false">IF(ABS(F99-G99)&lt;=0.01,"PASS","CHECK")</f>
        <v>PASS</v>
      </c>
    </row>
    <row r="100" customFormat="false" ht="15" hidden="false" customHeight="true" outlineLevel="0" collapsed="false">
      <c r="A100" s="1" t="s">
        <v>65</v>
      </c>
      <c r="B100" s="7" t="n">
        <v>45474</v>
      </c>
      <c r="C100" s="1" t="s">
        <v>191</v>
      </c>
      <c r="D100" s="1" t="s">
        <v>189</v>
      </c>
      <c r="E100" s="1" t="s">
        <v>156</v>
      </c>
      <c r="F100" s="1" t="n">
        <v>1221.26</v>
      </c>
      <c r="G100" s="1" t="n">
        <v>1221.26</v>
      </c>
      <c r="H100" s="1" t="str">
        <f aca="false">IF(ABS(F100-G100)&lt;=0.01,"PASS","CHECK")</f>
        <v>PASS</v>
      </c>
    </row>
    <row r="101" customFormat="false" ht="15" hidden="false" customHeight="true" outlineLevel="0" collapsed="false">
      <c r="A101" s="1" t="s">
        <v>65</v>
      </c>
      <c r="B101" s="7" t="n">
        <v>45505</v>
      </c>
      <c r="C101" s="1" t="s">
        <v>191</v>
      </c>
      <c r="D101" s="1" t="s">
        <v>189</v>
      </c>
      <c r="E101" s="1" t="s">
        <v>156</v>
      </c>
      <c r="F101" s="1" t="n">
        <v>1268.13</v>
      </c>
      <c r="G101" s="1" t="n">
        <v>1268.13</v>
      </c>
      <c r="H101" s="1" t="str">
        <f aca="false">IF(ABS(F101-G101)&lt;=0.01,"PASS","CHECK")</f>
        <v>PASS</v>
      </c>
    </row>
    <row r="102" customFormat="false" ht="15" hidden="false" customHeight="true" outlineLevel="0" collapsed="false">
      <c r="A102" s="1" t="s">
        <v>65</v>
      </c>
      <c r="B102" s="7" t="n">
        <v>45536</v>
      </c>
      <c r="C102" s="1" t="s">
        <v>191</v>
      </c>
      <c r="D102" s="1" t="s">
        <v>189</v>
      </c>
      <c r="E102" s="1" t="s">
        <v>156</v>
      </c>
      <c r="F102" s="1" t="n">
        <v>1274.42</v>
      </c>
      <c r="G102" s="1" t="n">
        <v>1274.42</v>
      </c>
      <c r="H102" s="1" t="str">
        <f aca="false">IF(ABS(F102-G102)&lt;=0.01,"PASS","CHECK")</f>
        <v>PASS</v>
      </c>
    </row>
    <row r="103" customFormat="false" ht="15" hidden="false" customHeight="true" outlineLevel="0" collapsed="false">
      <c r="A103" s="1" t="s">
        <v>65</v>
      </c>
      <c r="B103" s="7" t="n">
        <v>45566</v>
      </c>
      <c r="C103" s="1" t="s">
        <v>191</v>
      </c>
      <c r="D103" s="1" t="s">
        <v>189</v>
      </c>
      <c r="E103" s="1" t="s">
        <v>156</v>
      </c>
      <c r="F103" s="1" t="n">
        <v>1239.33</v>
      </c>
      <c r="G103" s="1" t="n">
        <v>1239.33</v>
      </c>
      <c r="H103" s="1" t="str">
        <f aca="false">IF(ABS(F103-G103)&lt;=0.01,"PASS","CHECK")</f>
        <v>PASS</v>
      </c>
    </row>
    <row r="104" customFormat="false" ht="15" hidden="false" customHeight="true" outlineLevel="0" collapsed="false">
      <c r="A104" s="1" t="s">
        <v>65</v>
      </c>
      <c r="B104" s="7" t="n">
        <v>45597</v>
      </c>
      <c r="C104" s="1" t="s">
        <v>191</v>
      </c>
      <c r="D104" s="1" t="s">
        <v>189</v>
      </c>
      <c r="E104" s="1" t="s">
        <v>156</v>
      </c>
      <c r="F104" s="1" t="n">
        <v>1286.89</v>
      </c>
      <c r="G104" s="1" t="n">
        <v>1286.89</v>
      </c>
      <c r="H104" s="1" t="str">
        <f aca="false">IF(ABS(F104-G104)&lt;=0.01,"PASS","CHECK")</f>
        <v>PASS</v>
      </c>
    </row>
    <row r="105" customFormat="false" ht="15" hidden="false" customHeight="true" outlineLevel="0" collapsed="false">
      <c r="A105" s="1" t="s">
        <v>65</v>
      </c>
      <c r="B105" s="7" t="n">
        <v>45627</v>
      </c>
      <c r="C105" s="1" t="s">
        <v>191</v>
      </c>
      <c r="D105" s="1" t="s">
        <v>189</v>
      </c>
      <c r="E105" s="1" t="s">
        <v>156</v>
      </c>
      <c r="F105" s="1" t="n">
        <v>1251.46</v>
      </c>
      <c r="G105" s="1" t="n">
        <v>1251.46</v>
      </c>
      <c r="H105" s="1" t="str">
        <f aca="false">IF(ABS(F105-G105)&lt;=0.01,"PASS","CHECK")</f>
        <v>PASS</v>
      </c>
    </row>
    <row r="106" customFormat="false" ht="15" hidden="false" customHeight="true" outlineLevel="0" collapsed="false">
      <c r="A106" s="1" t="s">
        <v>65</v>
      </c>
      <c r="B106" s="7" t="n">
        <v>45658</v>
      </c>
      <c r="C106" s="1" t="s">
        <v>191</v>
      </c>
      <c r="D106" s="1" t="s">
        <v>189</v>
      </c>
      <c r="E106" s="1" t="s">
        <v>156</v>
      </c>
      <c r="F106" s="1" t="n">
        <v>1299.48</v>
      </c>
      <c r="G106" s="1" t="n">
        <v>1299.48</v>
      </c>
      <c r="H106" s="1" t="str">
        <f aca="false">IF(ABS(F106-G106)&lt;=0.01,"PASS","CHECK")</f>
        <v>PASS</v>
      </c>
    </row>
    <row r="107" customFormat="false" ht="15" hidden="false" customHeight="true" outlineLevel="0" collapsed="false">
      <c r="A107" s="1" t="s">
        <v>65</v>
      </c>
      <c r="B107" s="7" t="n">
        <v>45689</v>
      </c>
      <c r="C107" s="1" t="s">
        <v>191</v>
      </c>
      <c r="D107" s="1" t="s">
        <v>189</v>
      </c>
      <c r="E107" s="1" t="s">
        <v>156</v>
      </c>
      <c r="F107" s="1" t="n">
        <v>1305.93</v>
      </c>
      <c r="G107" s="1" t="n">
        <v>1305.93</v>
      </c>
      <c r="H107" s="1" t="str">
        <f aca="false">IF(ABS(F107-G107)&lt;=0.01,"PASS","CHECK")</f>
        <v>PASS</v>
      </c>
    </row>
    <row r="108" customFormat="false" ht="15" hidden="false" customHeight="true" outlineLevel="0" collapsed="false">
      <c r="A108" s="1" t="s">
        <v>65</v>
      </c>
      <c r="B108" s="7" t="n">
        <v>45717</v>
      </c>
      <c r="C108" s="1" t="s">
        <v>191</v>
      </c>
      <c r="D108" s="1" t="s">
        <v>189</v>
      </c>
      <c r="E108" s="1" t="s">
        <v>156</v>
      </c>
      <c r="F108" s="1" t="n">
        <v>1185.12</v>
      </c>
      <c r="G108" s="1" t="n">
        <v>1185.12</v>
      </c>
      <c r="H108" s="1" t="str">
        <f aca="false">IF(ABS(F108-G108)&lt;=0.01,"PASS","CHECK")</f>
        <v>PASS</v>
      </c>
    </row>
    <row r="109" customFormat="false" ht="15" hidden="false" customHeight="true" outlineLevel="0" collapsed="false">
      <c r="A109" s="1" t="s">
        <v>65</v>
      </c>
      <c r="B109" s="7" t="n">
        <v>45748</v>
      </c>
      <c r="C109" s="1" t="s">
        <v>191</v>
      </c>
      <c r="D109" s="1" t="s">
        <v>189</v>
      </c>
      <c r="E109" s="1" t="s">
        <v>156</v>
      </c>
      <c r="F109" s="1" t="n">
        <v>1318.29</v>
      </c>
      <c r="G109" s="1" t="n">
        <v>1318.29</v>
      </c>
      <c r="H109" s="1" t="str">
        <f aca="false">IF(ABS(F109-G109)&lt;=0.01,"PASS","CHECK")</f>
        <v>PASS</v>
      </c>
    </row>
    <row r="110" customFormat="false" ht="15" hidden="false" customHeight="true" outlineLevel="0" collapsed="false">
      <c r="A110" s="1" t="s">
        <v>65</v>
      </c>
      <c r="B110" s="7" t="n">
        <v>45778</v>
      </c>
      <c r="C110" s="1" t="s">
        <v>191</v>
      </c>
      <c r="D110" s="1" t="s">
        <v>189</v>
      </c>
      <c r="E110" s="1" t="s">
        <v>156</v>
      </c>
      <c r="F110" s="1" t="n">
        <v>1281.99</v>
      </c>
      <c r="G110" s="1" t="n">
        <v>1281.99</v>
      </c>
      <c r="H110" s="1" t="str">
        <f aca="false">IF(ABS(F110-G110)&lt;=0.01,"PASS","CHECK")</f>
        <v>PASS</v>
      </c>
    </row>
    <row r="111" customFormat="false" ht="15" hidden="false" customHeight="true" outlineLevel="0" collapsed="false">
      <c r="A111" s="1" t="s">
        <v>65</v>
      </c>
      <c r="B111" s="7" t="n">
        <v>45809</v>
      </c>
      <c r="C111" s="1" t="s">
        <v>191</v>
      </c>
      <c r="D111" s="1" t="s">
        <v>189</v>
      </c>
      <c r="E111" s="1" t="s">
        <v>156</v>
      </c>
      <c r="F111" s="1" t="n">
        <v>1331.19</v>
      </c>
      <c r="G111" s="1" t="n">
        <v>1331.19</v>
      </c>
      <c r="H111" s="1" t="str">
        <f aca="false">IF(ABS(F111-G111)&lt;=0.01,"PASS","CHECK")</f>
        <v>PASS</v>
      </c>
    </row>
    <row r="112" customFormat="false" ht="15" hidden="false" customHeight="true" outlineLevel="0" collapsed="false">
      <c r="A112" s="1" t="s">
        <v>65</v>
      </c>
      <c r="B112" s="7" t="n">
        <v>45839</v>
      </c>
      <c r="C112" s="1" t="s">
        <v>191</v>
      </c>
      <c r="D112" s="1" t="s">
        <v>189</v>
      </c>
      <c r="E112" s="1" t="s">
        <v>156</v>
      </c>
      <c r="F112" s="1" t="n">
        <v>1294.53</v>
      </c>
      <c r="G112" s="1" t="n">
        <v>1294.53</v>
      </c>
      <c r="H112" s="1" t="str">
        <f aca="false">IF(ABS(F112-G112)&lt;=0.01,"PASS","CHECK")</f>
        <v>PASS</v>
      </c>
    </row>
    <row r="113" customFormat="false" ht="15" hidden="false" customHeight="true" outlineLevel="0" collapsed="false">
      <c r="A113" s="1" t="s">
        <v>65</v>
      </c>
      <c r="B113" s="7" t="n">
        <v>45870</v>
      </c>
      <c r="C113" s="1" t="s">
        <v>191</v>
      </c>
      <c r="D113" s="1" t="s">
        <v>189</v>
      </c>
      <c r="E113" s="1" t="s">
        <v>156</v>
      </c>
      <c r="F113" s="1" t="n">
        <v>1344.22</v>
      </c>
      <c r="G113" s="1" t="n">
        <v>1344.22</v>
      </c>
      <c r="H113" s="1" t="str">
        <f aca="false">IF(ABS(F113-G113)&lt;=0.01,"PASS","CHECK")</f>
        <v>PASS</v>
      </c>
    </row>
    <row r="114" customFormat="false" ht="15" hidden="false" customHeight="true" outlineLevel="0" collapsed="false">
      <c r="A114" s="1" t="s">
        <v>65</v>
      </c>
      <c r="B114" s="7" t="n">
        <v>45901</v>
      </c>
      <c r="C114" s="1" t="s">
        <v>191</v>
      </c>
      <c r="D114" s="1" t="s">
        <v>189</v>
      </c>
      <c r="E114" s="1" t="s">
        <v>156</v>
      </c>
      <c r="F114" s="1" t="n">
        <v>1350.88</v>
      </c>
      <c r="G114" s="1" t="n">
        <v>1350.88</v>
      </c>
      <c r="H114" s="1" t="str">
        <f aca="false">IF(ABS(F114-G114)&lt;=0.01,"PASS","CHECK")</f>
        <v>PASS</v>
      </c>
    </row>
    <row r="115" customFormat="false" ht="15" hidden="false" customHeight="true" outlineLevel="0" collapsed="false">
      <c r="A115" s="1" t="s">
        <v>65</v>
      </c>
      <c r="B115" s="7" t="n">
        <v>45931</v>
      </c>
      <c r="C115" s="1" t="s">
        <v>191</v>
      </c>
      <c r="D115" s="1" t="s">
        <v>189</v>
      </c>
      <c r="E115" s="1" t="s">
        <v>156</v>
      </c>
      <c r="F115" s="1" t="n">
        <v>1313.69</v>
      </c>
      <c r="G115" s="1" t="n">
        <v>1313.69</v>
      </c>
      <c r="H115" s="1" t="str">
        <f aca="false">IF(ABS(F115-G115)&lt;=0.01,"PASS","CHECK")</f>
        <v>PASS</v>
      </c>
    </row>
    <row r="116" customFormat="false" ht="15" hidden="false" customHeight="true" outlineLevel="0" collapsed="false">
      <c r="A116" s="1" t="s">
        <v>65</v>
      </c>
      <c r="B116" s="7" t="n">
        <v>45962</v>
      </c>
      <c r="C116" s="1" t="s">
        <v>191</v>
      </c>
      <c r="D116" s="1" t="s">
        <v>189</v>
      </c>
      <c r="E116" s="1" t="s">
        <v>156</v>
      </c>
      <c r="F116" s="1" t="n">
        <v>1364.1</v>
      </c>
      <c r="G116" s="1" t="n">
        <v>1364.1</v>
      </c>
      <c r="H116" s="1" t="str">
        <f aca="false">IF(ABS(F116-G116)&lt;=0.01,"PASS","CHECK")</f>
        <v>PASS</v>
      </c>
    </row>
    <row r="117" customFormat="false" ht="15" hidden="false" customHeight="true" outlineLevel="0" collapsed="false">
      <c r="A117" s="1" t="s">
        <v>65</v>
      </c>
      <c r="B117" s="7" t="n">
        <v>45992</v>
      </c>
      <c r="C117" s="1" t="s">
        <v>191</v>
      </c>
      <c r="D117" s="1" t="s">
        <v>189</v>
      </c>
      <c r="E117" s="1" t="s">
        <v>156</v>
      </c>
      <c r="F117" s="1" t="n">
        <v>1326.54</v>
      </c>
      <c r="G117" s="1" t="n">
        <v>1326.54</v>
      </c>
      <c r="H117" s="1" t="str">
        <f aca="false">IF(ABS(F117-G117)&lt;=0.01,"PASS","CHECK")</f>
        <v>PASS</v>
      </c>
    </row>
    <row r="118" customFormat="false" ht="15" hidden="false" customHeight="true" outlineLevel="0" collapsed="false">
      <c r="A118" s="1" t="s">
        <v>65</v>
      </c>
      <c r="B118" s="7" t="n">
        <v>46023</v>
      </c>
      <c r="C118" s="1" t="s">
        <v>191</v>
      </c>
      <c r="D118" s="1" t="s">
        <v>189</v>
      </c>
      <c r="E118" s="1" t="s">
        <v>156</v>
      </c>
      <c r="F118" s="1" t="n">
        <v>1377.45</v>
      </c>
      <c r="G118" s="1" t="n">
        <v>1377.45</v>
      </c>
      <c r="H118" s="1" t="str">
        <f aca="false">IF(ABS(F118-G118)&lt;=0.01,"PASS","CHECK")</f>
        <v>PASS</v>
      </c>
    </row>
    <row r="119" customFormat="false" ht="15" hidden="false" customHeight="true" outlineLevel="0" collapsed="false">
      <c r="A119" s="1" t="s">
        <v>65</v>
      </c>
      <c r="B119" s="7" t="n">
        <v>46054</v>
      </c>
      <c r="C119" s="1" t="s">
        <v>191</v>
      </c>
      <c r="D119" s="1" t="s">
        <v>189</v>
      </c>
      <c r="E119" s="1" t="s">
        <v>156</v>
      </c>
      <c r="F119" s="1" t="n">
        <v>1384.29</v>
      </c>
      <c r="G119" s="1" t="n">
        <v>1384.29</v>
      </c>
      <c r="H119" s="1" t="str">
        <f aca="false">IF(ABS(F119-G119)&lt;=0.01,"PASS","CHECK")</f>
        <v>PASS</v>
      </c>
    </row>
    <row r="120" customFormat="false" ht="15" hidden="false" customHeight="true" outlineLevel="0" collapsed="false">
      <c r="A120" s="1" t="s">
        <v>65</v>
      </c>
      <c r="B120" s="7" t="n">
        <v>46082</v>
      </c>
      <c r="C120" s="1" t="s">
        <v>191</v>
      </c>
      <c r="D120" s="1" t="s">
        <v>189</v>
      </c>
      <c r="E120" s="1" t="s">
        <v>156</v>
      </c>
      <c r="F120" s="1" t="n">
        <v>1256.22</v>
      </c>
      <c r="G120" s="1" t="n">
        <v>1256.22</v>
      </c>
      <c r="H120" s="1" t="str">
        <f aca="false">IF(ABS(F120-G120)&lt;=0.01,"PASS","CHECK")</f>
        <v>PASS</v>
      </c>
    </row>
    <row r="121" customFormat="false" ht="15" hidden="false" customHeight="true" outlineLevel="0" collapsed="false">
      <c r="A121" s="1" t="s">
        <v>65</v>
      </c>
      <c r="B121" s="7" t="n">
        <v>46113</v>
      </c>
      <c r="C121" s="1" t="s">
        <v>191</v>
      </c>
      <c r="D121" s="1" t="s">
        <v>189</v>
      </c>
      <c r="E121" s="1" t="s">
        <v>156</v>
      </c>
      <c r="F121" s="1" t="n">
        <v>1397.39</v>
      </c>
      <c r="G121" s="1" t="n">
        <v>1397.39</v>
      </c>
      <c r="H121" s="1" t="str">
        <f aca="false">IF(ABS(F121-G121)&lt;=0.01,"PASS","CHECK")</f>
        <v>PASS</v>
      </c>
    </row>
    <row r="122" customFormat="false" ht="15" hidden="false" customHeight="true" outlineLevel="0" collapsed="false">
      <c r="A122" s="1" t="s">
        <v>65</v>
      </c>
      <c r="B122" s="7" t="n">
        <v>46143</v>
      </c>
      <c r="C122" s="1" t="s">
        <v>191</v>
      </c>
      <c r="D122" s="1" t="s">
        <v>189</v>
      </c>
      <c r="E122" s="1" t="s">
        <v>156</v>
      </c>
      <c r="F122" s="1" t="n">
        <v>1358.91</v>
      </c>
      <c r="G122" s="1" t="n">
        <v>1358.91</v>
      </c>
      <c r="H122" s="1" t="str">
        <f aca="false">IF(ABS(F122-G122)&lt;=0.01,"PASS","CHECK")</f>
        <v>PASS</v>
      </c>
    </row>
    <row r="123" customFormat="false" ht="15" hidden="false" customHeight="true" outlineLevel="0" collapsed="false">
      <c r="A123" s="1" t="s">
        <v>65</v>
      </c>
      <c r="B123" s="7" t="n">
        <v>46174</v>
      </c>
      <c r="C123" s="1" t="s">
        <v>191</v>
      </c>
      <c r="D123" s="1" t="s">
        <v>189</v>
      </c>
      <c r="E123" s="1" t="s">
        <v>156</v>
      </c>
      <c r="F123" s="1" t="n">
        <v>1411.06</v>
      </c>
      <c r="G123" s="1" t="n">
        <v>1411.06</v>
      </c>
      <c r="H123" s="1" t="str">
        <f aca="false">IF(ABS(F123-G123)&lt;=0.01,"PASS","CHECK")</f>
        <v>PASS</v>
      </c>
    </row>
    <row r="124" customFormat="false" ht="15" hidden="false" customHeight="true" outlineLevel="0" collapsed="false">
      <c r="A124" s="1" t="s">
        <v>65</v>
      </c>
      <c r="B124" s="7" t="n">
        <v>46204</v>
      </c>
      <c r="C124" s="1" t="s">
        <v>191</v>
      </c>
      <c r="D124" s="1" t="s">
        <v>189</v>
      </c>
      <c r="E124" s="1" t="s">
        <v>156</v>
      </c>
      <c r="F124" s="1" t="n">
        <v>1372.21</v>
      </c>
      <c r="G124" s="1" t="n">
        <v>1372.21</v>
      </c>
      <c r="H124" s="1" t="str">
        <f aca="false">IF(ABS(F124-G124)&lt;=0.01,"PASS","CHECK")</f>
        <v>PASS</v>
      </c>
    </row>
    <row r="125" customFormat="false" ht="15" hidden="false" customHeight="true" outlineLevel="0" collapsed="false">
      <c r="A125" s="1" t="s">
        <v>65</v>
      </c>
      <c r="B125" s="7" t="n">
        <v>46235</v>
      </c>
      <c r="C125" s="1" t="s">
        <v>191</v>
      </c>
      <c r="D125" s="1" t="s">
        <v>189</v>
      </c>
      <c r="E125" s="1" t="s">
        <v>156</v>
      </c>
      <c r="F125" s="1" t="n">
        <v>1424.87</v>
      </c>
      <c r="G125" s="1" t="n">
        <v>1424.87</v>
      </c>
      <c r="H125" s="1" t="str">
        <f aca="false">IF(ABS(F125-G125)&lt;=0.01,"PASS","CHECK")</f>
        <v>PASS</v>
      </c>
    </row>
    <row r="126" customFormat="false" ht="15" hidden="false" customHeight="true" outlineLevel="0" collapsed="false">
      <c r="A126" s="1" t="s">
        <v>65</v>
      </c>
      <c r="B126" s="7" t="n">
        <v>46266</v>
      </c>
      <c r="C126" s="1" t="s">
        <v>191</v>
      </c>
      <c r="D126" s="1" t="s">
        <v>189</v>
      </c>
      <c r="E126" s="1" t="s">
        <v>156</v>
      </c>
      <c r="F126" s="1" t="n">
        <v>1431.94</v>
      </c>
      <c r="G126" s="1" t="n">
        <v>1431.94</v>
      </c>
      <c r="H126" s="1" t="str">
        <f aca="false">IF(ABS(F126-G126)&lt;=0.01,"PASS","CHECK")</f>
        <v>PASS</v>
      </c>
    </row>
    <row r="127" customFormat="false" ht="15" hidden="false" customHeight="true" outlineLevel="0" collapsed="false">
      <c r="A127" s="1" t="s">
        <v>65</v>
      </c>
      <c r="B127" s="7" t="n">
        <v>46271</v>
      </c>
      <c r="C127" s="1" t="s">
        <v>191</v>
      </c>
      <c r="D127" s="1" t="s">
        <v>189</v>
      </c>
      <c r="E127" s="1" t="s">
        <v>156</v>
      </c>
      <c r="F127" s="1" t="n">
        <v>231.62</v>
      </c>
      <c r="G127" s="1" t="n">
        <v>231.62</v>
      </c>
      <c r="H127" s="1" t="str">
        <f aca="false">IF(ABS(F127-G127)&lt;=0.01,"PASS","CHECK")</f>
        <v>PASS</v>
      </c>
    </row>
    <row r="128" customFormat="false" ht="15" hidden="false" customHeight="true" outlineLevel="0" collapsed="false">
      <c r="A128" s="1" t="s">
        <v>65</v>
      </c>
      <c r="B128" s="7" t="n">
        <v>45017</v>
      </c>
      <c r="C128" s="1" t="s">
        <v>192</v>
      </c>
      <c r="D128" s="1" t="s">
        <v>193</v>
      </c>
      <c r="E128" s="1" t="s">
        <v>182</v>
      </c>
      <c r="F128" s="1" t="n">
        <v>43557.32</v>
      </c>
      <c r="G128" s="1" t="n">
        <v>43557.32</v>
      </c>
      <c r="H128" s="1" t="str">
        <f aca="false">IF(ABS(F128-G128)&lt;=0.01,"PASS","CHECK")</f>
        <v>PASS</v>
      </c>
    </row>
    <row r="129" customFormat="false" ht="15" hidden="false" customHeight="true" outlineLevel="0" collapsed="false">
      <c r="A129" s="1" t="s">
        <v>65</v>
      </c>
      <c r="B129" s="7" t="n">
        <v>45383</v>
      </c>
      <c r="C129" s="1" t="s">
        <v>192</v>
      </c>
      <c r="D129" s="1" t="s">
        <v>193</v>
      </c>
      <c r="E129" s="1" t="s">
        <v>182</v>
      </c>
      <c r="F129" s="1" t="n">
        <v>47175.83</v>
      </c>
      <c r="G129" s="1" t="n">
        <v>47175.83</v>
      </c>
      <c r="H129" s="1" t="str">
        <f aca="false">IF(ABS(F129-G129)&lt;=0.01,"PASS","CHECK")</f>
        <v>PASS</v>
      </c>
    </row>
    <row r="130" customFormat="false" ht="15" hidden="false" customHeight="true" outlineLevel="0" collapsed="false">
      <c r="A130" s="1" t="s">
        <v>65</v>
      </c>
      <c r="B130" s="7" t="n">
        <v>45748</v>
      </c>
      <c r="C130" s="1" t="s">
        <v>192</v>
      </c>
      <c r="D130" s="1" t="s">
        <v>193</v>
      </c>
      <c r="E130" s="1" t="s">
        <v>182</v>
      </c>
      <c r="F130" s="1" t="n">
        <v>50815.98</v>
      </c>
      <c r="G130" s="1" t="n">
        <v>50815.98</v>
      </c>
      <c r="H130" s="1" t="str">
        <f aca="false">IF(ABS(F130-G130)&lt;=0.01,"PASS","CHECK")</f>
        <v>PASS</v>
      </c>
    </row>
    <row r="131" customFormat="false" ht="15" hidden="false" customHeight="true" outlineLevel="0" collapsed="false">
      <c r="A131" s="1" t="s">
        <v>65</v>
      </c>
      <c r="B131" s="7" t="n">
        <v>46113</v>
      </c>
      <c r="C131" s="1" t="s">
        <v>192</v>
      </c>
      <c r="D131" s="1" t="s">
        <v>193</v>
      </c>
      <c r="E131" s="1" t="s">
        <v>182</v>
      </c>
      <c r="F131" s="1" t="n">
        <v>54881.26</v>
      </c>
      <c r="G131" s="1" t="n">
        <v>54881.26</v>
      </c>
      <c r="H131" s="1" t="str">
        <f aca="false">IF(ABS(F131-G131)&lt;=0.01,"PASS","CHECK")</f>
        <v>PASS</v>
      </c>
    </row>
    <row r="132" customFormat="false" ht="15" hidden="false" customHeight="true" outlineLevel="0" collapsed="false">
      <c r="A132" s="1" t="s">
        <v>65</v>
      </c>
      <c r="B132" s="7" t="n">
        <v>46271</v>
      </c>
      <c r="C132" s="1" t="s">
        <v>192</v>
      </c>
      <c r="D132" s="1" t="s">
        <v>193</v>
      </c>
      <c r="E132" s="1" t="s">
        <v>182</v>
      </c>
      <c r="F132" s="1" t="n">
        <v>25098.47</v>
      </c>
      <c r="G132" s="1" t="n">
        <v>25098.47</v>
      </c>
      <c r="H132" s="1" t="str">
        <f aca="false">IF(ABS(F132-G132)&lt;=0.01,"PASS","CHECK")</f>
        <v>PASS</v>
      </c>
    </row>
    <row r="133" customFormat="false" ht="15" hidden="false" customHeight="true" outlineLevel="0" collapsed="false">
      <c r="A133" s="1" t="s">
        <v>65</v>
      </c>
      <c r="B133" s="7" t="n">
        <v>46271</v>
      </c>
      <c r="C133" s="1" t="s">
        <v>194</v>
      </c>
      <c r="D133" s="1" t="s">
        <v>195</v>
      </c>
      <c r="E133" s="1" t="s">
        <v>196</v>
      </c>
      <c r="F133" s="1" t="n">
        <v>2902.95</v>
      </c>
      <c r="G133" s="1" t="n">
        <v>2902.95</v>
      </c>
      <c r="H133" s="1" t="str">
        <f aca="false">IF(ABS(F133-G133)&lt;=0.01,"PASS","CHECK")</f>
        <v>PASS</v>
      </c>
    </row>
    <row r="134" customFormat="false" ht="15" hidden="false" customHeight="true" outlineLevel="0" collapsed="false">
      <c r="A134" s="1" t="s">
        <v>74</v>
      </c>
      <c r="B134" s="7" t="s">
        <v>197</v>
      </c>
      <c r="C134" s="1" t="s">
        <v>176</v>
      </c>
      <c r="D134" s="1" t="s">
        <v>177</v>
      </c>
      <c r="E134" s="1" t="s">
        <v>178</v>
      </c>
      <c r="F134" s="1" t="n">
        <v>8841059.6</v>
      </c>
      <c r="G134" s="1" t="n">
        <v>8841059.6</v>
      </c>
      <c r="H134" s="1" t="str">
        <f aca="false">IF(ABS(F134-G134)&lt;=0.01,"PASS","CHECK")</f>
        <v>PASS</v>
      </c>
    </row>
    <row r="135" customFormat="false" ht="15" hidden="false" customHeight="true" outlineLevel="0" collapsed="false">
      <c r="A135" s="1" t="s">
        <v>74</v>
      </c>
      <c r="B135" s="7" t="s">
        <v>197</v>
      </c>
      <c r="C135" s="1" t="s">
        <v>198</v>
      </c>
      <c r="D135" s="1" t="s">
        <v>177</v>
      </c>
      <c r="E135" s="1" t="s">
        <v>180</v>
      </c>
      <c r="F135" s="1" t="n">
        <v>450000</v>
      </c>
      <c r="G135" s="1" t="n">
        <v>450000</v>
      </c>
      <c r="H135" s="1" t="str">
        <f aca="false">IF(ABS(F135-G135)&lt;=0.01,"PASS","CHECK")</f>
        <v>PASS</v>
      </c>
    </row>
    <row r="136" customFormat="false" ht="15" hidden="false" customHeight="true" outlineLevel="0" collapsed="false">
      <c r="A136" s="1" t="s">
        <v>74</v>
      </c>
      <c r="B136" s="7" t="s">
        <v>197</v>
      </c>
      <c r="C136" s="1" t="s">
        <v>181</v>
      </c>
      <c r="D136" s="1" t="s">
        <v>177</v>
      </c>
      <c r="E136" s="1" t="s">
        <v>182</v>
      </c>
      <c r="F136" s="1" t="n">
        <v>178837.97</v>
      </c>
      <c r="G136" s="1" t="n">
        <v>178837.97</v>
      </c>
      <c r="H136" s="1" t="str">
        <f aca="false">IF(ABS(F136-G136)&lt;=0.01,"PASS","CHECK")</f>
        <v>PASS</v>
      </c>
    </row>
    <row r="137" customFormat="false" ht="15" hidden="false" customHeight="true" outlineLevel="0" collapsed="false">
      <c r="A137" s="1" t="s">
        <v>74</v>
      </c>
      <c r="B137" s="7" t="s">
        <v>197</v>
      </c>
      <c r="C137" s="1" t="s">
        <v>199</v>
      </c>
      <c r="D137" s="1" t="s">
        <v>180</v>
      </c>
      <c r="E137" s="1" t="s">
        <v>177</v>
      </c>
      <c r="F137" s="1" t="n">
        <v>75000</v>
      </c>
      <c r="G137" s="1" t="n">
        <v>75000</v>
      </c>
      <c r="H137" s="1" t="str">
        <f aca="false">IF(ABS(F137-G137)&lt;=0.01,"PASS","CHECK")</f>
        <v>PASS</v>
      </c>
    </row>
    <row r="138" customFormat="false" ht="15" hidden="false" customHeight="true" outlineLevel="0" collapsed="false">
      <c r="A138" s="1" t="s">
        <v>74</v>
      </c>
      <c r="B138" s="7" t="n">
        <v>45383</v>
      </c>
      <c r="C138" s="1" t="s">
        <v>184</v>
      </c>
      <c r="D138" s="1" t="s">
        <v>185</v>
      </c>
      <c r="E138" s="1" t="s">
        <v>178</v>
      </c>
      <c r="F138" s="1" t="n">
        <v>212599.51</v>
      </c>
      <c r="G138" s="1" t="n">
        <v>212599.51</v>
      </c>
      <c r="H138" s="1" t="str">
        <f aca="false">IF(ABS(F138-G138)&lt;=0.01,"PASS","CHECK")</f>
        <v>PASS</v>
      </c>
    </row>
    <row r="139" customFormat="false" ht="15" hidden="false" customHeight="true" outlineLevel="0" collapsed="false">
      <c r="A139" s="1" t="s">
        <v>74</v>
      </c>
      <c r="B139" s="7" t="n">
        <v>45383</v>
      </c>
      <c r="C139" s="1" t="s">
        <v>183</v>
      </c>
      <c r="D139" s="1" t="s">
        <v>178</v>
      </c>
      <c r="E139" s="1" t="s">
        <v>180</v>
      </c>
      <c r="F139" s="1" t="n">
        <v>450000</v>
      </c>
      <c r="G139" s="1" t="n">
        <v>450000</v>
      </c>
      <c r="H139" s="1" t="str">
        <f aca="false">IF(ABS(F139-G139)&lt;=0.01,"PASS","CHECK")</f>
        <v>PASS</v>
      </c>
    </row>
    <row r="140" customFormat="false" ht="15" hidden="false" customHeight="true" outlineLevel="0" collapsed="false">
      <c r="A140" s="1" t="s">
        <v>74</v>
      </c>
      <c r="B140" s="7" t="n">
        <v>45474</v>
      </c>
      <c r="C140" s="1" t="s">
        <v>184</v>
      </c>
      <c r="D140" s="1" t="s">
        <v>185</v>
      </c>
      <c r="E140" s="1" t="s">
        <v>178</v>
      </c>
      <c r="F140" s="1" t="n">
        <v>206890.78</v>
      </c>
      <c r="G140" s="1" t="n">
        <v>206890.78</v>
      </c>
      <c r="H140" s="1" t="str">
        <f aca="false">IF(ABS(F140-G140)&lt;=0.01,"PASS","CHECK")</f>
        <v>PASS</v>
      </c>
    </row>
    <row r="141" customFormat="false" ht="15" hidden="false" customHeight="true" outlineLevel="0" collapsed="false">
      <c r="A141" s="1" t="s">
        <v>74</v>
      </c>
      <c r="B141" s="7" t="n">
        <v>45474</v>
      </c>
      <c r="C141" s="1" t="s">
        <v>183</v>
      </c>
      <c r="D141" s="1" t="s">
        <v>178</v>
      </c>
      <c r="E141" s="1" t="s">
        <v>180</v>
      </c>
      <c r="F141" s="1" t="n">
        <v>450000</v>
      </c>
      <c r="G141" s="1" t="n">
        <v>450000</v>
      </c>
      <c r="H141" s="1" t="str">
        <f aca="false">IF(ABS(F141-G141)&lt;=0.01,"PASS","CHECK")</f>
        <v>PASS</v>
      </c>
    </row>
    <row r="142" customFormat="false" ht="15" hidden="false" customHeight="true" outlineLevel="0" collapsed="false">
      <c r="A142" s="1" t="s">
        <v>74</v>
      </c>
      <c r="B142" s="7" t="n">
        <v>45566</v>
      </c>
      <c r="C142" s="1" t="s">
        <v>184</v>
      </c>
      <c r="D142" s="1" t="s">
        <v>185</v>
      </c>
      <c r="E142" s="1" t="s">
        <v>178</v>
      </c>
      <c r="F142" s="1" t="n">
        <v>203280.7</v>
      </c>
      <c r="G142" s="1" t="n">
        <v>203280.7</v>
      </c>
      <c r="H142" s="1" t="str">
        <f aca="false">IF(ABS(F142-G142)&lt;=0.01,"PASS","CHECK")</f>
        <v>PASS</v>
      </c>
    </row>
    <row r="143" customFormat="false" ht="15" hidden="false" customHeight="true" outlineLevel="0" collapsed="false">
      <c r="A143" s="1" t="s">
        <v>74</v>
      </c>
      <c r="B143" s="7" t="n">
        <v>45566</v>
      </c>
      <c r="C143" s="1" t="s">
        <v>183</v>
      </c>
      <c r="D143" s="1" t="s">
        <v>178</v>
      </c>
      <c r="E143" s="1" t="s">
        <v>180</v>
      </c>
      <c r="F143" s="1" t="n">
        <v>450000</v>
      </c>
      <c r="G143" s="1" t="n">
        <v>450000</v>
      </c>
      <c r="H143" s="1" t="str">
        <f aca="false">IF(ABS(F143-G143)&lt;=0.01,"PASS","CHECK")</f>
        <v>PASS</v>
      </c>
    </row>
    <row r="144" customFormat="false" ht="15" hidden="false" customHeight="true" outlineLevel="0" collapsed="false">
      <c r="A144" s="1" t="s">
        <v>74</v>
      </c>
      <c r="B144" s="7" t="n">
        <v>45658</v>
      </c>
      <c r="C144" s="1" t="s">
        <v>184</v>
      </c>
      <c r="D144" s="1" t="s">
        <v>185</v>
      </c>
      <c r="E144" s="1" t="s">
        <v>178</v>
      </c>
      <c r="F144" s="1" t="n">
        <v>197281.9</v>
      </c>
      <c r="G144" s="1" t="n">
        <v>197281.9</v>
      </c>
      <c r="H144" s="1" t="str">
        <f aca="false">IF(ABS(F144-G144)&lt;=0.01,"PASS","CHECK")</f>
        <v>PASS</v>
      </c>
    </row>
    <row r="145" customFormat="false" ht="15" hidden="false" customHeight="true" outlineLevel="0" collapsed="false">
      <c r="A145" s="1" t="s">
        <v>74</v>
      </c>
      <c r="B145" s="7" t="n">
        <v>45658</v>
      </c>
      <c r="C145" s="1" t="s">
        <v>183</v>
      </c>
      <c r="D145" s="1" t="s">
        <v>178</v>
      </c>
      <c r="E145" s="1" t="s">
        <v>180</v>
      </c>
      <c r="F145" s="1" t="n">
        <v>475000</v>
      </c>
      <c r="G145" s="1" t="n">
        <v>475000</v>
      </c>
      <c r="H145" s="1" t="str">
        <f aca="false">IF(ABS(F145-G145)&lt;=0.01,"PASS","CHECK")</f>
        <v>PASS</v>
      </c>
    </row>
    <row r="146" customFormat="false" ht="15" hidden="false" customHeight="true" outlineLevel="0" collapsed="false">
      <c r="A146" s="1" t="s">
        <v>74</v>
      </c>
      <c r="B146" s="7" t="n">
        <v>45748</v>
      </c>
      <c r="C146" s="1" t="s">
        <v>184</v>
      </c>
      <c r="D146" s="1" t="s">
        <v>185</v>
      </c>
      <c r="E146" s="1" t="s">
        <v>178</v>
      </c>
      <c r="F146" s="1" t="n">
        <v>186338.59</v>
      </c>
      <c r="G146" s="1" t="n">
        <v>186338.59</v>
      </c>
      <c r="H146" s="1" t="str">
        <f aca="false">IF(ABS(F146-G146)&lt;=0.01,"PASS","CHECK")</f>
        <v>PASS</v>
      </c>
    </row>
    <row r="147" customFormat="false" ht="15" hidden="false" customHeight="true" outlineLevel="0" collapsed="false">
      <c r="A147" s="1" t="s">
        <v>74</v>
      </c>
      <c r="B147" s="7" t="n">
        <v>45748</v>
      </c>
      <c r="C147" s="1" t="s">
        <v>183</v>
      </c>
      <c r="D147" s="1" t="s">
        <v>178</v>
      </c>
      <c r="E147" s="1" t="s">
        <v>180</v>
      </c>
      <c r="F147" s="1" t="n">
        <v>475000</v>
      </c>
      <c r="G147" s="1" t="n">
        <v>475000</v>
      </c>
      <c r="H147" s="1" t="str">
        <f aca="false">IF(ABS(F147-G147)&lt;=0.01,"PASS","CHECK")</f>
        <v>PASS</v>
      </c>
    </row>
    <row r="148" customFormat="false" ht="15" hidden="false" customHeight="true" outlineLevel="0" collapsed="false">
      <c r="A148" s="1" t="s">
        <v>74</v>
      </c>
      <c r="B148" s="7" t="n">
        <v>45839</v>
      </c>
      <c r="C148" s="1" t="s">
        <v>184</v>
      </c>
      <c r="D148" s="1" t="s">
        <v>185</v>
      </c>
      <c r="E148" s="1" t="s">
        <v>178</v>
      </c>
      <c r="F148" s="1" t="n">
        <v>181492.32</v>
      </c>
      <c r="G148" s="1" t="n">
        <v>181492.32</v>
      </c>
      <c r="H148" s="1" t="str">
        <f aca="false">IF(ABS(F148-G148)&lt;=0.01,"PASS","CHECK")</f>
        <v>PASS</v>
      </c>
    </row>
    <row r="149" customFormat="false" ht="15" hidden="false" customHeight="true" outlineLevel="0" collapsed="false">
      <c r="A149" s="1" t="s">
        <v>74</v>
      </c>
      <c r="B149" s="7" t="n">
        <v>45839</v>
      </c>
      <c r="C149" s="1" t="s">
        <v>183</v>
      </c>
      <c r="D149" s="1" t="s">
        <v>178</v>
      </c>
      <c r="E149" s="1" t="s">
        <v>180</v>
      </c>
      <c r="F149" s="1" t="n">
        <v>475000</v>
      </c>
      <c r="G149" s="1" t="n">
        <v>475000</v>
      </c>
      <c r="H149" s="1" t="str">
        <f aca="false">IF(ABS(F149-G149)&lt;=0.01,"PASS","CHECK")</f>
        <v>PASS</v>
      </c>
    </row>
    <row r="150" customFormat="false" ht="15" hidden="false" customHeight="true" outlineLevel="0" collapsed="false">
      <c r="A150" s="1" t="s">
        <v>74</v>
      </c>
      <c r="B150" s="7" t="n">
        <v>45931</v>
      </c>
      <c r="C150" s="1" t="s">
        <v>184</v>
      </c>
      <c r="D150" s="1" t="s">
        <v>185</v>
      </c>
      <c r="E150" s="1" t="s">
        <v>178</v>
      </c>
      <c r="F150" s="1" t="n">
        <v>176374.37</v>
      </c>
      <c r="G150" s="1" t="n">
        <v>176374.37</v>
      </c>
      <c r="H150" s="1" t="str">
        <f aca="false">IF(ABS(F150-G150)&lt;=0.01,"PASS","CHECK")</f>
        <v>PASS</v>
      </c>
    </row>
    <row r="151" customFormat="false" ht="15" hidden="false" customHeight="true" outlineLevel="0" collapsed="false">
      <c r="A151" s="1" t="s">
        <v>74</v>
      </c>
      <c r="B151" s="7" t="n">
        <v>45931</v>
      </c>
      <c r="C151" s="1" t="s">
        <v>183</v>
      </c>
      <c r="D151" s="1" t="s">
        <v>178</v>
      </c>
      <c r="E151" s="1" t="s">
        <v>180</v>
      </c>
      <c r="F151" s="1" t="n">
        <v>475000</v>
      </c>
      <c r="G151" s="1" t="n">
        <v>475000</v>
      </c>
      <c r="H151" s="1" t="str">
        <f aca="false">IF(ABS(F151-G151)&lt;=0.01,"PASS","CHECK")</f>
        <v>PASS</v>
      </c>
    </row>
    <row r="152" customFormat="false" ht="15" hidden="false" customHeight="true" outlineLevel="0" collapsed="false">
      <c r="A152" s="1" t="s">
        <v>74</v>
      </c>
      <c r="B152" s="7" t="n">
        <v>46023</v>
      </c>
      <c r="C152" s="1" t="s">
        <v>184</v>
      </c>
      <c r="D152" s="1" t="s">
        <v>185</v>
      </c>
      <c r="E152" s="1" t="s">
        <v>178</v>
      </c>
      <c r="F152" s="1" t="n">
        <v>169113.5</v>
      </c>
      <c r="G152" s="1" t="n">
        <v>169113.5</v>
      </c>
      <c r="H152" s="1" t="str">
        <f aca="false">IF(ABS(F152-G152)&lt;=0.01,"PASS","CHECK")</f>
        <v>PASS</v>
      </c>
    </row>
    <row r="153" customFormat="false" ht="15" hidden="false" customHeight="true" outlineLevel="0" collapsed="false">
      <c r="A153" s="1" t="s">
        <v>74</v>
      </c>
      <c r="B153" s="7" t="n">
        <v>46023</v>
      </c>
      <c r="C153" s="1" t="s">
        <v>183</v>
      </c>
      <c r="D153" s="1" t="s">
        <v>178</v>
      </c>
      <c r="E153" s="1" t="s">
        <v>180</v>
      </c>
      <c r="F153" s="1" t="n">
        <v>500000</v>
      </c>
      <c r="G153" s="1" t="n">
        <v>500000</v>
      </c>
      <c r="H153" s="1" t="str">
        <f aca="false">IF(ABS(F153-G153)&lt;=0.01,"PASS","CHECK")</f>
        <v>PASS</v>
      </c>
    </row>
    <row r="154" customFormat="false" ht="15" hidden="false" customHeight="true" outlineLevel="0" collapsed="false">
      <c r="A154" s="1" t="s">
        <v>74</v>
      </c>
      <c r="B154" s="7" t="n">
        <v>46113</v>
      </c>
      <c r="C154" s="1" t="s">
        <v>184</v>
      </c>
      <c r="D154" s="1" t="s">
        <v>185</v>
      </c>
      <c r="E154" s="1" t="s">
        <v>178</v>
      </c>
      <c r="F154" s="1" t="n">
        <v>157525.45</v>
      </c>
      <c r="G154" s="1" t="n">
        <v>157525.45</v>
      </c>
      <c r="H154" s="1" t="str">
        <f aca="false">IF(ABS(F154-G154)&lt;=0.01,"PASS","CHECK")</f>
        <v>PASS</v>
      </c>
    </row>
    <row r="155" customFormat="false" ht="15" hidden="false" customHeight="true" outlineLevel="0" collapsed="false">
      <c r="A155" s="1" t="s">
        <v>74</v>
      </c>
      <c r="B155" s="7" t="n">
        <v>46113</v>
      </c>
      <c r="C155" s="1" t="s">
        <v>183</v>
      </c>
      <c r="D155" s="1" t="s">
        <v>178</v>
      </c>
      <c r="E155" s="1" t="s">
        <v>180</v>
      </c>
      <c r="F155" s="1" t="n">
        <v>500000</v>
      </c>
      <c r="G155" s="1" t="n">
        <v>500000</v>
      </c>
      <c r="H155" s="1" t="str">
        <f aca="false">IF(ABS(F155-G155)&lt;=0.01,"PASS","CHECK")</f>
        <v>PASS</v>
      </c>
    </row>
    <row r="156" customFormat="false" ht="15" hidden="false" customHeight="true" outlineLevel="0" collapsed="false">
      <c r="A156" s="1" t="s">
        <v>74</v>
      </c>
      <c r="B156" s="7" t="n">
        <v>46204</v>
      </c>
      <c r="C156" s="1" t="s">
        <v>184</v>
      </c>
      <c r="D156" s="1" t="s">
        <v>185</v>
      </c>
      <c r="E156" s="1" t="s">
        <v>178</v>
      </c>
      <c r="F156" s="1" t="n">
        <v>151061.18</v>
      </c>
      <c r="G156" s="1" t="n">
        <v>151061.18</v>
      </c>
      <c r="H156" s="1" t="str">
        <f aca="false">IF(ABS(F156-G156)&lt;=0.01,"PASS","CHECK")</f>
        <v>PASS</v>
      </c>
    </row>
    <row r="157" customFormat="false" ht="15" hidden="false" customHeight="true" outlineLevel="0" collapsed="false">
      <c r="A157" s="1" t="s">
        <v>74</v>
      </c>
      <c r="B157" s="7" t="n">
        <v>46204</v>
      </c>
      <c r="C157" s="1" t="s">
        <v>183</v>
      </c>
      <c r="D157" s="1" t="s">
        <v>178</v>
      </c>
      <c r="E157" s="1" t="s">
        <v>180</v>
      </c>
      <c r="F157" s="1" t="n">
        <v>500000</v>
      </c>
      <c r="G157" s="1" t="n">
        <v>500000</v>
      </c>
      <c r="H157" s="1" t="str">
        <f aca="false">IF(ABS(F157-G157)&lt;=0.01,"PASS","CHECK")</f>
        <v>PASS</v>
      </c>
    </row>
    <row r="158" customFormat="false" ht="15" hidden="false" customHeight="true" outlineLevel="0" collapsed="false">
      <c r="A158" s="1" t="s">
        <v>74</v>
      </c>
      <c r="B158" s="7" t="n">
        <v>46271</v>
      </c>
      <c r="C158" s="1" t="s">
        <v>200</v>
      </c>
      <c r="D158" s="1" t="s">
        <v>185</v>
      </c>
      <c r="E158" s="1" t="s">
        <v>178</v>
      </c>
      <c r="F158" s="1" t="n">
        <v>104713.21</v>
      </c>
      <c r="G158" s="1" t="n">
        <v>104713.21</v>
      </c>
      <c r="H158" s="1" t="str">
        <f aca="false">IF(ABS(F158-G158)&lt;=0.01,"PASS","CHECK")</f>
        <v>PASS</v>
      </c>
    </row>
    <row r="159" customFormat="false" ht="15" hidden="false" customHeight="true" outlineLevel="0" collapsed="false">
      <c r="A159" s="1" t="s">
        <v>74</v>
      </c>
      <c r="B159" s="7" t="n">
        <v>45292</v>
      </c>
      <c r="C159" s="1" t="s">
        <v>149</v>
      </c>
      <c r="D159" s="1" t="s">
        <v>186</v>
      </c>
      <c r="E159" s="1" t="s">
        <v>187</v>
      </c>
      <c r="F159" s="1" t="n">
        <v>131099.59</v>
      </c>
      <c r="G159" s="1" t="n">
        <v>131099.59</v>
      </c>
      <c r="H159" s="1" t="str">
        <f aca="false">IF(ABS(F159-G159)&lt;=0.01,"PASS","CHECK")</f>
        <v>PASS</v>
      </c>
    </row>
    <row r="160" customFormat="false" ht="15" hidden="false" customHeight="true" outlineLevel="0" collapsed="false">
      <c r="A160" s="1" t="s">
        <v>74</v>
      </c>
      <c r="B160" s="7" t="n">
        <v>45323</v>
      </c>
      <c r="C160" s="1" t="s">
        <v>149</v>
      </c>
      <c r="D160" s="1" t="s">
        <v>186</v>
      </c>
      <c r="E160" s="1" t="s">
        <v>187</v>
      </c>
      <c r="F160" s="1" t="n">
        <v>131099.59</v>
      </c>
      <c r="G160" s="1" t="n">
        <v>131099.59</v>
      </c>
      <c r="H160" s="1" t="str">
        <f aca="false">IF(ABS(F160-G160)&lt;=0.01,"PASS","CHECK")</f>
        <v>PASS</v>
      </c>
    </row>
    <row r="161" customFormat="false" ht="15" hidden="false" customHeight="true" outlineLevel="0" collapsed="false">
      <c r="A161" s="1" t="s">
        <v>74</v>
      </c>
      <c r="B161" s="7" t="n">
        <v>45352</v>
      </c>
      <c r="C161" s="1" t="s">
        <v>149</v>
      </c>
      <c r="D161" s="1" t="s">
        <v>186</v>
      </c>
      <c r="E161" s="1" t="s">
        <v>187</v>
      </c>
      <c r="F161" s="1" t="n">
        <v>131099.59</v>
      </c>
      <c r="G161" s="1" t="n">
        <v>131099.59</v>
      </c>
      <c r="H161" s="1" t="str">
        <f aca="false">IF(ABS(F161-G161)&lt;=0.01,"PASS","CHECK")</f>
        <v>PASS</v>
      </c>
    </row>
    <row r="162" customFormat="false" ht="15" hidden="false" customHeight="true" outlineLevel="0" collapsed="false">
      <c r="A162" s="1" t="s">
        <v>74</v>
      </c>
      <c r="B162" s="7" t="n">
        <v>45383</v>
      </c>
      <c r="C162" s="1" t="s">
        <v>149</v>
      </c>
      <c r="D162" s="1" t="s">
        <v>186</v>
      </c>
      <c r="E162" s="1" t="s">
        <v>187</v>
      </c>
      <c r="F162" s="1" t="n">
        <v>131099.59</v>
      </c>
      <c r="G162" s="1" t="n">
        <v>131099.59</v>
      </c>
      <c r="H162" s="1" t="str">
        <f aca="false">IF(ABS(F162-G162)&lt;=0.01,"PASS","CHECK")</f>
        <v>PASS</v>
      </c>
    </row>
    <row r="163" customFormat="false" ht="15" hidden="false" customHeight="true" outlineLevel="0" collapsed="false">
      <c r="A163" s="1" t="s">
        <v>74</v>
      </c>
      <c r="B163" s="7" t="n">
        <v>45413</v>
      </c>
      <c r="C163" s="1" t="s">
        <v>149</v>
      </c>
      <c r="D163" s="1" t="s">
        <v>186</v>
      </c>
      <c r="E163" s="1" t="s">
        <v>187</v>
      </c>
      <c r="F163" s="1" t="n">
        <v>131099.59</v>
      </c>
      <c r="G163" s="1" t="n">
        <v>131099.59</v>
      </c>
      <c r="H163" s="1" t="str">
        <f aca="false">IF(ABS(F163-G163)&lt;=0.01,"PASS","CHECK")</f>
        <v>PASS</v>
      </c>
    </row>
    <row r="164" customFormat="false" ht="15" hidden="false" customHeight="true" outlineLevel="0" collapsed="false">
      <c r="A164" s="1" t="s">
        <v>74</v>
      </c>
      <c r="B164" s="7" t="n">
        <v>45444</v>
      </c>
      <c r="C164" s="1" t="s">
        <v>149</v>
      </c>
      <c r="D164" s="1" t="s">
        <v>186</v>
      </c>
      <c r="E164" s="1" t="s">
        <v>187</v>
      </c>
      <c r="F164" s="1" t="n">
        <v>131099.59</v>
      </c>
      <c r="G164" s="1" t="n">
        <v>131099.59</v>
      </c>
      <c r="H164" s="1" t="str">
        <f aca="false">IF(ABS(F164-G164)&lt;=0.01,"PASS","CHECK")</f>
        <v>PASS</v>
      </c>
    </row>
    <row r="165" customFormat="false" ht="15" hidden="false" customHeight="true" outlineLevel="0" collapsed="false">
      <c r="A165" s="1" t="s">
        <v>74</v>
      </c>
      <c r="B165" s="7" t="n">
        <v>45474</v>
      </c>
      <c r="C165" s="1" t="s">
        <v>149</v>
      </c>
      <c r="D165" s="1" t="s">
        <v>186</v>
      </c>
      <c r="E165" s="1" t="s">
        <v>187</v>
      </c>
      <c r="F165" s="1" t="n">
        <v>131099.59</v>
      </c>
      <c r="G165" s="1" t="n">
        <v>131099.59</v>
      </c>
      <c r="H165" s="1" t="str">
        <f aca="false">IF(ABS(F165-G165)&lt;=0.01,"PASS","CHECK")</f>
        <v>PASS</v>
      </c>
    </row>
    <row r="166" customFormat="false" ht="15" hidden="false" customHeight="true" outlineLevel="0" collapsed="false">
      <c r="A166" s="1" t="s">
        <v>74</v>
      </c>
      <c r="B166" s="7" t="n">
        <v>45505</v>
      </c>
      <c r="C166" s="1" t="s">
        <v>149</v>
      </c>
      <c r="D166" s="1" t="s">
        <v>186</v>
      </c>
      <c r="E166" s="1" t="s">
        <v>187</v>
      </c>
      <c r="F166" s="1" t="n">
        <v>131099.59</v>
      </c>
      <c r="G166" s="1" t="n">
        <v>131099.59</v>
      </c>
      <c r="H166" s="1" t="str">
        <f aca="false">IF(ABS(F166-G166)&lt;=0.01,"PASS","CHECK")</f>
        <v>PASS</v>
      </c>
    </row>
    <row r="167" customFormat="false" ht="15" hidden="false" customHeight="true" outlineLevel="0" collapsed="false">
      <c r="A167" s="1" t="s">
        <v>74</v>
      </c>
      <c r="B167" s="7" t="n">
        <v>45536</v>
      </c>
      <c r="C167" s="1" t="s">
        <v>149</v>
      </c>
      <c r="D167" s="1" t="s">
        <v>186</v>
      </c>
      <c r="E167" s="1" t="s">
        <v>187</v>
      </c>
      <c r="F167" s="1" t="n">
        <v>131099.59</v>
      </c>
      <c r="G167" s="1" t="n">
        <v>131099.59</v>
      </c>
      <c r="H167" s="1" t="str">
        <f aca="false">IF(ABS(F167-G167)&lt;=0.01,"PASS","CHECK")</f>
        <v>PASS</v>
      </c>
    </row>
    <row r="168" customFormat="false" ht="15" hidden="false" customHeight="true" outlineLevel="0" collapsed="false">
      <c r="A168" s="1" t="s">
        <v>74</v>
      </c>
      <c r="B168" s="7" t="n">
        <v>45566</v>
      </c>
      <c r="C168" s="1" t="s">
        <v>149</v>
      </c>
      <c r="D168" s="1" t="s">
        <v>186</v>
      </c>
      <c r="E168" s="1" t="s">
        <v>187</v>
      </c>
      <c r="F168" s="1" t="n">
        <v>131099.59</v>
      </c>
      <c r="G168" s="1" t="n">
        <v>131099.59</v>
      </c>
      <c r="H168" s="1" t="str">
        <f aca="false">IF(ABS(F168-G168)&lt;=0.01,"PASS","CHECK")</f>
        <v>PASS</v>
      </c>
    </row>
    <row r="169" customFormat="false" ht="15" hidden="false" customHeight="true" outlineLevel="0" collapsed="false">
      <c r="A169" s="1" t="s">
        <v>74</v>
      </c>
      <c r="B169" s="7" t="n">
        <v>45597</v>
      </c>
      <c r="C169" s="1" t="s">
        <v>149</v>
      </c>
      <c r="D169" s="1" t="s">
        <v>186</v>
      </c>
      <c r="E169" s="1" t="s">
        <v>187</v>
      </c>
      <c r="F169" s="1" t="n">
        <v>131099.59</v>
      </c>
      <c r="G169" s="1" t="n">
        <v>131099.59</v>
      </c>
      <c r="H169" s="1" t="str">
        <f aca="false">IF(ABS(F169-G169)&lt;=0.01,"PASS","CHECK")</f>
        <v>PASS</v>
      </c>
    </row>
    <row r="170" customFormat="false" ht="15" hidden="false" customHeight="true" outlineLevel="0" collapsed="false">
      <c r="A170" s="1" t="s">
        <v>74</v>
      </c>
      <c r="B170" s="7" t="n">
        <v>45627</v>
      </c>
      <c r="C170" s="1" t="s">
        <v>149</v>
      </c>
      <c r="D170" s="1" t="s">
        <v>186</v>
      </c>
      <c r="E170" s="1" t="s">
        <v>187</v>
      </c>
      <c r="F170" s="1" t="n">
        <v>131099.59</v>
      </c>
      <c r="G170" s="1" t="n">
        <v>131099.59</v>
      </c>
      <c r="H170" s="1" t="str">
        <f aca="false">IF(ABS(F170-G170)&lt;=0.01,"PASS","CHECK")</f>
        <v>PASS</v>
      </c>
    </row>
    <row r="171" customFormat="false" ht="15" hidden="false" customHeight="true" outlineLevel="0" collapsed="false">
      <c r="A171" s="1" t="s">
        <v>74</v>
      </c>
      <c r="B171" s="7" t="n">
        <v>45658</v>
      </c>
      <c r="C171" s="1" t="s">
        <v>149</v>
      </c>
      <c r="D171" s="1" t="s">
        <v>186</v>
      </c>
      <c r="E171" s="1" t="s">
        <v>187</v>
      </c>
      <c r="F171" s="1" t="n">
        <v>131099.59</v>
      </c>
      <c r="G171" s="1" t="n">
        <v>131099.59</v>
      </c>
      <c r="H171" s="1" t="str">
        <f aca="false">IF(ABS(F171-G171)&lt;=0.01,"PASS","CHECK")</f>
        <v>PASS</v>
      </c>
    </row>
    <row r="172" customFormat="false" ht="15" hidden="false" customHeight="true" outlineLevel="0" collapsed="false">
      <c r="A172" s="1" t="s">
        <v>74</v>
      </c>
      <c r="B172" s="7" t="n">
        <v>45689</v>
      </c>
      <c r="C172" s="1" t="s">
        <v>149</v>
      </c>
      <c r="D172" s="1" t="s">
        <v>186</v>
      </c>
      <c r="E172" s="1" t="s">
        <v>187</v>
      </c>
      <c r="F172" s="1" t="n">
        <v>131099.59</v>
      </c>
      <c r="G172" s="1" t="n">
        <v>131099.59</v>
      </c>
      <c r="H172" s="1" t="str">
        <f aca="false">IF(ABS(F172-G172)&lt;=0.01,"PASS","CHECK")</f>
        <v>PASS</v>
      </c>
    </row>
    <row r="173" customFormat="false" ht="15" hidden="false" customHeight="true" outlineLevel="0" collapsed="false">
      <c r="A173" s="1" t="s">
        <v>74</v>
      </c>
      <c r="B173" s="7" t="n">
        <v>45717</v>
      </c>
      <c r="C173" s="1" t="s">
        <v>149</v>
      </c>
      <c r="D173" s="1" t="s">
        <v>186</v>
      </c>
      <c r="E173" s="1" t="s">
        <v>187</v>
      </c>
      <c r="F173" s="1" t="n">
        <v>131099.59</v>
      </c>
      <c r="G173" s="1" t="n">
        <v>131099.59</v>
      </c>
      <c r="H173" s="1" t="str">
        <f aca="false">IF(ABS(F173-G173)&lt;=0.01,"PASS","CHECK")</f>
        <v>PASS</v>
      </c>
    </row>
    <row r="174" customFormat="false" ht="15" hidden="false" customHeight="true" outlineLevel="0" collapsed="false">
      <c r="A174" s="1" t="s">
        <v>74</v>
      </c>
      <c r="B174" s="7" t="n">
        <v>45748</v>
      </c>
      <c r="C174" s="1" t="s">
        <v>149</v>
      </c>
      <c r="D174" s="1" t="s">
        <v>186</v>
      </c>
      <c r="E174" s="1" t="s">
        <v>187</v>
      </c>
      <c r="F174" s="1" t="n">
        <v>131099.59</v>
      </c>
      <c r="G174" s="1" t="n">
        <v>131099.59</v>
      </c>
      <c r="H174" s="1" t="str">
        <f aca="false">IF(ABS(F174-G174)&lt;=0.01,"PASS","CHECK")</f>
        <v>PASS</v>
      </c>
    </row>
    <row r="175" customFormat="false" ht="15" hidden="false" customHeight="true" outlineLevel="0" collapsed="false">
      <c r="A175" s="1" t="s">
        <v>74</v>
      </c>
      <c r="B175" s="7" t="n">
        <v>45778</v>
      </c>
      <c r="C175" s="1" t="s">
        <v>149</v>
      </c>
      <c r="D175" s="1" t="s">
        <v>186</v>
      </c>
      <c r="E175" s="1" t="s">
        <v>187</v>
      </c>
      <c r="F175" s="1" t="n">
        <v>131099.59</v>
      </c>
      <c r="G175" s="1" t="n">
        <v>131099.59</v>
      </c>
      <c r="H175" s="1" t="str">
        <f aca="false">IF(ABS(F175-G175)&lt;=0.01,"PASS","CHECK")</f>
        <v>PASS</v>
      </c>
    </row>
    <row r="176" customFormat="false" ht="15" hidden="false" customHeight="true" outlineLevel="0" collapsed="false">
      <c r="A176" s="1" t="s">
        <v>74</v>
      </c>
      <c r="B176" s="7" t="n">
        <v>45809</v>
      </c>
      <c r="C176" s="1" t="s">
        <v>149</v>
      </c>
      <c r="D176" s="1" t="s">
        <v>186</v>
      </c>
      <c r="E176" s="1" t="s">
        <v>187</v>
      </c>
      <c r="F176" s="1" t="n">
        <v>131099.59</v>
      </c>
      <c r="G176" s="1" t="n">
        <v>131099.59</v>
      </c>
      <c r="H176" s="1" t="str">
        <f aca="false">IF(ABS(F176-G176)&lt;=0.01,"PASS","CHECK")</f>
        <v>PASS</v>
      </c>
    </row>
    <row r="177" customFormat="false" ht="15" hidden="false" customHeight="true" outlineLevel="0" collapsed="false">
      <c r="A177" s="1" t="s">
        <v>74</v>
      </c>
      <c r="B177" s="7" t="n">
        <v>45839</v>
      </c>
      <c r="C177" s="1" t="s">
        <v>149</v>
      </c>
      <c r="D177" s="1" t="s">
        <v>186</v>
      </c>
      <c r="E177" s="1" t="s">
        <v>187</v>
      </c>
      <c r="F177" s="1" t="n">
        <v>131099.59</v>
      </c>
      <c r="G177" s="1" t="n">
        <v>131099.59</v>
      </c>
      <c r="H177" s="1" t="str">
        <f aca="false">IF(ABS(F177-G177)&lt;=0.01,"PASS","CHECK")</f>
        <v>PASS</v>
      </c>
    </row>
    <row r="178" customFormat="false" ht="15" hidden="false" customHeight="true" outlineLevel="0" collapsed="false">
      <c r="A178" s="1" t="s">
        <v>74</v>
      </c>
      <c r="B178" s="7" t="n">
        <v>45870</v>
      </c>
      <c r="C178" s="1" t="s">
        <v>149</v>
      </c>
      <c r="D178" s="1" t="s">
        <v>186</v>
      </c>
      <c r="E178" s="1" t="s">
        <v>187</v>
      </c>
      <c r="F178" s="1" t="n">
        <v>131099.59</v>
      </c>
      <c r="G178" s="1" t="n">
        <v>131099.59</v>
      </c>
      <c r="H178" s="1" t="str">
        <f aca="false">IF(ABS(F178-G178)&lt;=0.01,"PASS","CHECK")</f>
        <v>PASS</v>
      </c>
    </row>
    <row r="179" customFormat="false" ht="15" hidden="false" customHeight="true" outlineLevel="0" collapsed="false">
      <c r="A179" s="1" t="s">
        <v>74</v>
      </c>
      <c r="B179" s="7" t="n">
        <v>45901</v>
      </c>
      <c r="C179" s="1" t="s">
        <v>149</v>
      </c>
      <c r="D179" s="1" t="s">
        <v>186</v>
      </c>
      <c r="E179" s="1" t="s">
        <v>187</v>
      </c>
      <c r="F179" s="1" t="n">
        <v>131099.59</v>
      </c>
      <c r="G179" s="1" t="n">
        <v>131099.59</v>
      </c>
      <c r="H179" s="1" t="str">
        <f aca="false">IF(ABS(F179-G179)&lt;=0.01,"PASS","CHECK")</f>
        <v>PASS</v>
      </c>
    </row>
    <row r="180" customFormat="false" ht="15" hidden="false" customHeight="true" outlineLevel="0" collapsed="false">
      <c r="A180" s="1" t="s">
        <v>74</v>
      </c>
      <c r="B180" s="7" t="n">
        <v>45931</v>
      </c>
      <c r="C180" s="1" t="s">
        <v>149</v>
      </c>
      <c r="D180" s="1" t="s">
        <v>186</v>
      </c>
      <c r="E180" s="1" t="s">
        <v>187</v>
      </c>
      <c r="F180" s="1" t="n">
        <v>131099.59</v>
      </c>
      <c r="G180" s="1" t="n">
        <v>131099.59</v>
      </c>
      <c r="H180" s="1" t="str">
        <f aca="false">IF(ABS(F180-G180)&lt;=0.01,"PASS","CHECK")</f>
        <v>PASS</v>
      </c>
    </row>
    <row r="181" customFormat="false" ht="15" hidden="false" customHeight="true" outlineLevel="0" collapsed="false">
      <c r="A181" s="1" t="s">
        <v>74</v>
      </c>
      <c r="B181" s="7" t="n">
        <v>45962</v>
      </c>
      <c r="C181" s="1" t="s">
        <v>149</v>
      </c>
      <c r="D181" s="1" t="s">
        <v>186</v>
      </c>
      <c r="E181" s="1" t="s">
        <v>187</v>
      </c>
      <c r="F181" s="1" t="n">
        <v>131099.59</v>
      </c>
      <c r="G181" s="1" t="n">
        <v>131099.59</v>
      </c>
      <c r="H181" s="1" t="str">
        <f aca="false">IF(ABS(F181-G181)&lt;=0.01,"PASS","CHECK")</f>
        <v>PASS</v>
      </c>
    </row>
    <row r="182" customFormat="false" ht="15" hidden="false" customHeight="true" outlineLevel="0" collapsed="false">
      <c r="A182" s="1" t="s">
        <v>74</v>
      </c>
      <c r="B182" s="7" t="n">
        <v>45992</v>
      </c>
      <c r="C182" s="1" t="s">
        <v>149</v>
      </c>
      <c r="D182" s="1" t="s">
        <v>186</v>
      </c>
      <c r="E182" s="1" t="s">
        <v>187</v>
      </c>
      <c r="F182" s="1" t="n">
        <v>131099.59</v>
      </c>
      <c r="G182" s="1" t="n">
        <v>131099.59</v>
      </c>
      <c r="H182" s="1" t="str">
        <f aca="false">IF(ABS(F182-G182)&lt;=0.01,"PASS","CHECK")</f>
        <v>PASS</v>
      </c>
    </row>
    <row r="183" customFormat="false" ht="15" hidden="false" customHeight="true" outlineLevel="0" collapsed="false">
      <c r="A183" s="1" t="s">
        <v>74</v>
      </c>
      <c r="B183" s="7" t="n">
        <v>46023</v>
      </c>
      <c r="C183" s="1" t="s">
        <v>149</v>
      </c>
      <c r="D183" s="1" t="s">
        <v>186</v>
      </c>
      <c r="E183" s="1" t="s">
        <v>187</v>
      </c>
      <c r="F183" s="1" t="n">
        <v>131099.59</v>
      </c>
      <c r="G183" s="1" t="n">
        <v>131099.59</v>
      </c>
      <c r="H183" s="1" t="str">
        <f aca="false">IF(ABS(F183-G183)&lt;=0.01,"PASS","CHECK")</f>
        <v>PASS</v>
      </c>
    </row>
    <row r="184" customFormat="false" ht="15" hidden="false" customHeight="true" outlineLevel="0" collapsed="false">
      <c r="A184" s="1" t="s">
        <v>74</v>
      </c>
      <c r="B184" s="7" t="n">
        <v>46054</v>
      </c>
      <c r="C184" s="1" t="s">
        <v>149</v>
      </c>
      <c r="D184" s="1" t="s">
        <v>186</v>
      </c>
      <c r="E184" s="1" t="s">
        <v>187</v>
      </c>
      <c r="F184" s="1" t="n">
        <v>131099.59</v>
      </c>
      <c r="G184" s="1" t="n">
        <v>131099.59</v>
      </c>
      <c r="H184" s="1" t="str">
        <f aca="false">IF(ABS(F184-G184)&lt;=0.01,"PASS","CHECK")</f>
        <v>PASS</v>
      </c>
    </row>
    <row r="185" customFormat="false" ht="15" hidden="false" customHeight="true" outlineLevel="0" collapsed="false">
      <c r="A185" s="1" t="s">
        <v>74</v>
      </c>
      <c r="B185" s="7" t="n">
        <v>46082</v>
      </c>
      <c r="C185" s="1" t="s">
        <v>149</v>
      </c>
      <c r="D185" s="1" t="s">
        <v>186</v>
      </c>
      <c r="E185" s="1" t="s">
        <v>187</v>
      </c>
      <c r="F185" s="1" t="n">
        <v>131099.59</v>
      </c>
      <c r="G185" s="1" t="n">
        <v>131099.59</v>
      </c>
      <c r="H185" s="1" t="str">
        <f aca="false">IF(ABS(F185-G185)&lt;=0.01,"PASS","CHECK")</f>
        <v>PASS</v>
      </c>
    </row>
    <row r="186" customFormat="false" ht="15" hidden="false" customHeight="true" outlineLevel="0" collapsed="false">
      <c r="A186" s="1" t="s">
        <v>74</v>
      </c>
      <c r="B186" s="7" t="n">
        <v>46113</v>
      </c>
      <c r="C186" s="1" t="s">
        <v>149</v>
      </c>
      <c r="D186" s="1" t="s">
        <v>186</v>
      </c>
      <c r="E186" s="1" t="s">
        <v>187</v>
      </c>
      <c r="F186" s="1" t="n">
        <v>131099.59</v>
      </c>
      <c r="G186" s="1" t="n">
        <v>131099.59</v>
      </c>
      <c r="H186" s="1" t="str">
        <f aca="false">IF(ABS(F186-G186)&lt;=0.01,"PASS","CHECK")</f>
        <v>PASS</v>
      </c>
    </row>
    <row r="187" customFormat="false" ht="15" hidden="false" customHeight="true" outlineLevel="0" collapsed="false">
      <c r="A187" s="1" t="s">
        <v>74</v>
      </c>
      <c r="B187" s="7" t="n">
        <v>46143</v>
      </c>
      <c r="C187" s="1" t="s">
        <v>149</v>
      </c>
      <c r="D187" s="1" t="s">
        <v>186</v>
      </c>
      <c r="E187" s="1" t="s">
        <v>187</v>
      </c>
      <c r="F187" s="1" t="n">
        <v>131099.59</v>
      </c>
      <c r="G187" s="1" t="n">
        <v>131099.59</v>
      </c>
      <c r="H187" s="1" t="str">
        <f aca="false">IF(ABS(F187-G187)&lt;=0.01,"PASS","CHECK")</f>
        <v>PASS</v>
      </c>
    </row>
    <row r="188" customFormat="false" ht="15" hidden="false" customHeight="true" outlineLevel="0" collapsed="false">
      <c r="A188" s="1" t="s">
        <v>74</v>
      </c>
      <c r="B188" s="7" t="n">
        <v>46174</v>
      </c>
      <c r="C188" s="1" t="s">
        <v>149</v>
      </c>
      <c r="D188" s="1" t="s">
        <v>186</v>
      </c>
      <c r="E188" s="1" t="s">
        <v>187</v>
      </c>
      <c r="F188" s="1" t="n">
        <v>131099.59</v>
      </c>
      <c r="G188" s="1" t="n">
        <v>131099.59</v>
      </c>
      <c r="H188" s="1" t="str">
        <f aca="false">IF(ABS(F188-G188)&lt;=0.01,"PASS","CHECK")</f>
        <v>PASS</v>
      </c>
    </row>
    <row r="189" customFormat="false" ht="15" hidden="false" customHeight="true" outlineLevel="0" collapsed="false">
      <c r="A189" s="1" t="s">
        <v>74</v>
      </c>
      <c r="B189" s="7" t="n">
        <v>46204</v>
      </c>
      <c r="C189" s="1" t="s">
        <v>149</v>
      </c>
      <c r="D189" s="1" t="s">
        <v>186</v>
      </c>
      <c r="E189" s="1" t="s">
        <v>187</v>
      </c>
      <c r="F189" s="1" t="n">
        <v>131099.59</v>
      </c>
      <c r="G189" s="1" t="n">
        <v>131099.59</v>
      </c>
      <c r="H189" s="1" t="str">
        <f aca="false">IF(ABS(F189-G189)&lt;=0.01,"PASS","CHECK")</f>
        <v>PASS</v>
      </c>
    </row>
    <row r="190" customFormat="false" ht="15" hidden="false" customHeight="true" outlineLevel="0" collapsed="false">
      <c r="A190" s="1" t="s">
        <v>74</v>
      </c>
      <c r="B190" s="7" t="n">
        <v>46235</v>
      </c>
      <c r="C190" s="1" t="s">
        <v>149</v>
      </c>
      <c r="D190" s="1" t="s">
        <v>186</v>
      </c>
      <c r="E190" s="1" t="s">
        <v>187</v>
      </c>
      <c r="F190" s="1" t="n">
        <v>131099.59</v>
      </c>
      <c r="G190" s="1" t="n">
        <v>131099.59</v>
      </c>
      <c r="H190" s="1" t="str">
        <f aca="false">IF(ABS(F190-G190)&lt;=0.01,"PASS","CHECK")</f>
        <v>PASS</v>
      </c>
    </row>
    <row r="191" customFormat="false" ht="15" hidden="false" customHeight="true" outlineLevel="0" collapsed="false">
      <c r="A191" s="1" t="s">
        <v>74</v>
      </c>
      <c r="B191" s="7" t="n">
        <v>46266</v>
      </c>
      <c r="C191" s="1" t="s">
        <v>149</v>
      </c>
      <c r="D191" s="1" t="s">
        <v>186</v>
      </c>
      <c r="E191" s="1" t="s">
        <v>187</v>
      </c>
      <c r="F191" s="1" t="n">
        <v>131099.59</v>
      </c>
      <c r="G191" s="1" t="n">
        <v>131099.59</v>
      </c>
      <c r="H191" s="1" t="str">
        <f aca="false">IF(ABS(F191-G191)&lt;=0.01,"PASS","CHECK")</f>
        <v>PASS</v>
      </c>
    </row>
    <row r="192" customFormat="false" ht="15" hidden="false" customHeight="true" outlineLevel="0" collapsed="false">
      <c r="A192" s="1" t="s">
        <v>74</v>
      </c>
      <c r="B192" s="7" t="s">
        <v>197</v>
      </c>
      <c r="C192" s="1" t="s">
        <v>188</v>
      </c>
      <c r="D192" s="1" t="s">
        <v>189</v>
      </c>
      <c r="E192" s="1" t="s">
        <v>180</v>
      </c>
      <c r="F192" s="1" t="n">
        <v>105727.2</v>
      </c>
      <c r="G192" s="1" t="n">
        <v>105727.2</v>
      </c>
      <c r="H192" s="1" t="str">
        <f aca="false">IF(ABS(F192-G192)&lt;=0.01,"PASS","CHECK")</f>
        <v>PASS</v>
      </c>
    </row>
    <row r="193" customFormat="false" ht="15" hidden="false" customHeight="true" outlineLevel="0" collapsed="false">
      <c r="A193" s="1" t="s">
        <v>74</v>
      </c>
      <c r="B193" s="7" t="s">
        <v>197</v>
      </c>
      <c r="C193" s="1" t="s">
        <v>190</v>
      </c>
      <c r="D193" s="1" t="s">
        <v>177</v>
      </c>
      <c r="E193" s="1" t="s">
        <v>180</v>
      </c>
      <c r="F193" s="1" t="n">
        <v>44272.8</v>
      </c>
      <c r="G193" s="1" t="n">
        <v>44272.8</v>
      </c>
      <c r="H193" s="1" t="str">
        <f aca="false">IF(ABS(F193-G193)&lt;=0.01,"PASS","CHECK")</f>
        <v>PASS</v>
      </c>
    </row>
    <row r="194" customFormat="false" ht="15" hidden="false" customHeight="true" outlineLevel="0" collapsed="false">
      <c r="A194" s="1" t="s">
        <v>74</v>
      </c>
      <c r="B194" s="7" t="n">
        <v>45323</v>
      </c>
      <c r="C194" s="1" t="s">
        <v>191</v>
      </c>
      <c r="D194" s="1" t="s">
        <v>189</v>
      </c>
      <c r="E194" s="1" t="s">
        <v>156</v>
      </c>
      <c r="F194" s="1" t="n">
        <v>524.53</v>
      </c>
      <c r="G194" s="1" t="n">
        <v>524.53</v>
      </c>
      <c r="H194" s="1" t="str">
        <f aca="false">IF(ABS(F194-G194)&lt;=0.01,"PASS","CHECK")</f>
        <v>PASS</v>
      </c>
    </row>
    <row r="195" customFormat="false" ht="15" hidden="false" customHeight="true" outlineLevel="0" collapsed="false">
      <c r="A195" s="1" t="s">
        <v>74</v>
      </c>
      <c r="B195" s="7" t="n">
        <v>45352</v>
      </c>
      <c r="C195" s="1" t="s">
        <v>191</v>
      </c>
      <c r="D195" s="1" t="s">
        <v>189</v>
      </c>
      <c r="E195" s="1" t="s">
        <v>156</v>
      </c>
      <c r="F195" s="1" t="n">
        <v>493.04</v>
      </c>
      <c r="G195" s="1" t="n">
        <v>493.04</v>
      </c>
      <c r="H195" s="1" t="str">
        <f aca="false">IF(ABS(F195-G195)&lt;=0.01,"PASS","CHECK")</f>
        <v>PASS</v>
      </c>
    </row>
    <row r="196" customFormat="false" ht="15" hidden="false" customHeight="true" outlineLevel="0" collapsed="false">
      <c r="A196" s="1" t="s">
        <v>74</v>
      </c>
      <c r="B196" s="7" t="n">
        <v>45383</v>
      </c>
      <c r="C196" s="1" t="s">
        <v>191</v>
      </c>
      <c r="D196" s="1" t="s">
        <v>189</v>
      </c>
      <c r="E196" s="1" t="s">
        <v>156</v>
      </c>
      <c r="F196" s="1" t="n">
        <v>529.57</v>
      </c>
      <c r="G196" s="1" t="n">
        <v>529.57</v>
      </c>
      <c r="H196" s="1" t="str">
        <f aca="false">IF(ABS(F196-G196)&lt;=0.01,"PASS","CHECK")</f>
        <v>PASS</v>
      </c>
    </row>
    <row r="197" customFormat="false" ht="15" hidden="false" customHeight="true" outlineLevel="0" collapsed="false">
      <c r="A197" s="1" t="s">
        <v>74</v>
      </c>
      <c r="B197" s="7" t="n">
        <v>45413</v>
      </c>
      <c r="C197" s="1" t="s">
        <v>191</v>
      </c>
      <c r="D197" s="1" t="s">
        <v>189</v>
      </c>
      <c r="E197" s="1" t="s">
        <v>156</v>
      </c>
      <c r="F197" s="1" t="n">
        <v>514.99</v>
      </c>
      <c r="G197" s="1" t="n">
        <v>514.99</v>
      </c>
      <c r="H197" s="1" t="str">
        <f aca="false">IF(ABS(F197-G197)&lt;=0.01,"PASS","CHECK")</f>
        <v>PASS</v>
      </c>
    </row>
    <row r="198" customFormat="false" ht="15" hidden="false" customHeight="true" outlineLevel="0" collapsed="false">
      <c r="A198" s="1" t="s">
        <v>74</v>
      </c>
      <c r="B198" s="7" t="n">
        <v>45444</v>
      </c>
      <c r="C198" s="1" t="s">
        <v>191</v>
      </c>
      <c r="D198" s="1" t="s">
        <v>189</v>
      </c>
      <c r="E198" s="1" t="s">
        <v>156</v>
      </c>
      <c r="F198" s="1" t="n">
        <v>534.76</v>
      </c>
      <c r="G198" s="1" t="n">
        <v>534.76</v>
      </c>
      <c r="H198" s="1" t="str">
        <f aca="false">IF(ABS(F198-G198)&lt;=0.01,"PASS","CHECK")</f>
        <v>PASS</v>
      </c>
    </row>
    <row r="199" customFormat="false" ht="15" hidden="false" customHeight="true" outlineLevel="0" collapsed="false">
      <c r="A199" s="1" t="s">
        <v>74</v>
      </c>
      <c r="B199" s="7" t="n">
        <v>45474</v>
      </c>
      <c r="C199" s="1" t="s">
        <v>191</v>
      </c>
      <c r="D199" s="1" t="s">
        <v>189</v>
      </c>
      <c r="E199" s="1" t="s">
        <v>156</v>
      </c>
      <c r="F199" s="1" t="n">
        <v>520.03</v>
      </c>
      <c r="G199" s="1" t="n">
        <v>520.03</v>
      </c>
      <c r="H199" s="1" t="str">
        <f aca="false">IF(ABS(F199-G199)&lt;=0.01,"PASS","CHECK")</f>
        <v>PASS</v>
      </c>
    </row>
    <row r="200" customFormat="false" ht="15" hidden="false" customHeight="true" outlineLevel="0" collapsed="false">
      <c r="A200" s="1" t="s">
        <v>74</v>
      </c>
      <c r="B200" s="7" t="n">
        <v>45505</v>
      </c>
      <c r="C200" s="1" t="s">
        <v>191</v>
      </c>
      <c r="D200" s="1" t="s">
        <v>189</v>
      </c>
      <c r="E200" s="1" t="s">
        <v>156</v>
      </c>
      <c r="F200" s="1" t="n">
        <v>539.99</v>
      </c>
      <c r="G200" s="1" t="n">
        <v>539.99</v>
      </c>
      <c r="H200" s="1" t="str">
        <f aca="false">IF(ABS(F200-G200)&lt;=0.01,"PASS","CHECK")</f>
        <v>PASS</v>
      </c>
    </row>
    <row r="201" customFormat="false" ht="15" hidden="false" customHeight="true" outlineLevel="0" collapsed="false">
      <c r="A201" s="1" t="s">
        <v>74</v>
      </c>
      <c r="B201" s="7" t="n">
        <v>45536</v>
      </c>
      <c r="C201" s="1" t="s">
        <v>191</v>
      </c>
      <c r="D201" s="1" t="s">
        <v>189</v>
      </c>
      <c r="E201" s="1" t="s">
        <v>156</v>
      </c>
      <c r="F201" s="1" t="n">
        <v>542.67</v>
      </c>
      <c r="G201" s="1" t="n">
        <v>542.67</v>
      </c>
      <c r="H201" s="1" t="str">
        <f aca="false">IF(ABS(F201-G201)&lt;=0.01,"PASS","CHECK")</f>
        <v>PASS</v>
      </c>
    </row>
    <row r="202" customFormat="false" ht="15" hidden="false" customHeight="true" outlineLevel="0" collapsed="false">
      <c r="A202" s="1" t="s">
        <v>74</v>
      </c>
      <c r="B202" s="7" t="n">
        <v>45566</v>
      </c>
      <c r="C202" s="1" t="s">
        <v>191</v>
      </c>
      <c r="D202" s="1" t="s">
        <v>189</v>
      </c>
      <c r="E202" s="1" t="s">
        <v>156</v>
      </c>
      <c r="F202" s="1" t="n">
        <v>527.73</v>
      </c>
      <c r="G202" s="1" t="n">
        <v>527.73</v>
      </c>
      <c r="H202" s="1" t="str">
        <f aca="false">IF(ABS(F202-G202)&lt;=0.01,"PASS","CHECK")</f>
        <v>PASS</v>
      </c>
    </row>
    <row r="203" customFormat="false" ht="15" hidden="false" customHeight="true" outlineLevel="0" collapsed="false">
      <c r="A203" s="1" t="s">
        <v>74</v>
      </c>
      <c r="B203" s="7" t="n">
        <v>45597</v>
      </c>
      <c r="C203" s="1" t="s">
        <v>191</v>
      </c>
      <c r="D203" s="1" t="s">
        <v>189</v>
      </c>
      <c r="E203" s="1" t="s">
        <v>156</v>
      </c>
      <c r="F203" s="1" t="n">
        <v>547.98</v>
      </c>
      <c r="G203" s="1" t="n">
        <v>547.98</v>
      </c>
      <c r="H203" s="1" t="str">
        <f aca="false">IF(ABS(F203-G203)&lt;=0.01,"PASS","CHECK")</f>
        <v>PASS</v>
      </c>
    </row>
    <row r="204" customFormat="false" ht="15" hidden="false" customHeight="true" outlineLevel="0" collapsed="false">
      <c r="A204" s="1" t="s">
        <v>74</v>
      </c>
      <c r="B204" s="7" t="n">
        <v>45627</v>
      </c>
      <c r="C204" s="1" t="s">
        <v>191</v>
      </c>
      <c r="D204" s="1" t="s">
        <v>189</v>
      </c>
      <c r="E204" s="1" t="s">
        <v>156</v>
      </c>
      <c r="F204" s="1" t="n">
        <v>532.89</v>
      </c>
      <c r="G204" s="1" t="n">
        <v>532.89</v>
      </c>
      <c r="H204" s="1" t="str">
        <f aca="false">IF(ABS(F204-G204)&lt;=0.01,"PASS","CHECK")</f>
        <v>PASS</v>
      </c>
    </row>
    <row r="205" customFormat="false" ht="15" hidden="false" customHeight="true" outlineLevel="0" collapsed="false">
      <c r="A205" s="1" t="s">
        <v>74</v>
      </c>
      <c r="B205" s="7" t="n">
        <v>45658</v>
      </c>
      <c r="C205" s="1" t="s">
        <v>191</v>
      </c>
      <c r="D205" s="1" t="s">
        <v>189</v>
      </c>
      <c r="E205" s="1" t="s">
        <v>156</v>
      </c>
      <c r="F205" s="1" t="n">
        <v>553.34</v>
      </c>
      <c r="G205" s="1" t="n">
        <v>553.34</v>
      </c>
      <c r="H205" s="1" t="str">
        <f aca="false">IF(ABS(F205-G205)&lt;=0.01,"PASS","CHECK")</f>
        <v>PASS</v>
      </c>
    </row>
    <row r="206" customFormat="false" ht="15" hidden="false" customHeight="true" outlineLevel="0" collapsed="false">
      <c r="A206" s="1" t="s">
        <v>74</v>
      </c>
      <c r="B206" s="7" t="n">
        <v>45689</v>
      </c>
      <c r="C206" s="1" t="s">
        <v>191</v>
      </c>
      <c r="D206" s="1" t="s">
        <v>189</v>
      </c>
      <c r="E206" s="1" t="s">
        <v>156</v>
      </c>
      <c r="F206" s="1" t="n">
        <v>556.09</v>
      </c>
      <c r="G206" s="1" t="n">
        <v>556.09</v>
      </c>
      <c r="H206" s="1" t="str">
        <f aca="false">IF(ABS(F206-G206)&lt;=0.01,"PASS","CHECK")</f>
        <v>PASS</v>
      </c>
    </row>
    <row r="207" customFormat="false" ht="15" hidden="false" customHeight="true" outlineLevel="0" collapsed="false">
      <c r="A207" s="1" t="s">
        <v>74</v>
      </c>
      <c r="B207" s="7" t="n">
        <v>45717</v>
      </c>
      <c r="C207" s="1" t="s">
        <v>191</v>
      </c>
      <c r="D207" s="1" t="s">
        <v>189</v>
      </c>
      <c r="E207" s="1" t="s">
        <v>156</v>
      </c>
      <c r="F207" s="1" t="n">
        <v>504.64</v>
      </c>
      <c r="G207" s="1" t="n">
        <v>504.64</v>
      </c>
      <c r="H207" s="1" t="str">
        <f aca="false">IF(ABS(F207-G207)&lt;=0.01,"PASS","CHECK")</f>
        <v>PASS</v>
      </c>
    </row>
    <row r="208" customFormat="false" ht="15" hidden="false" customHeight="true" outlineLevel="0" collapsed="false">
      <c r="A208" s="1" t="s">
        <v>74</v>
      </c>
      <c r="B208" s="7" t="n">
        <v>45748</v>
      </c>
      <c r="C208" s="1" t="s">
        <v>191</v>
      </c>
      <c r="D208" s="1" t="s">
        <v>189</v>
      </c>
      <c r="E208" s="1" t="s">
        <v>156</v>
      </c>
      <c r="F208" s="1" t="n">
        <v>561.35</v>
      </c>
      <c r="G208" s="1" t="n">
        <v>561.35</v>
      </c>
      <c r="H208" s="1" t="str">
        <f aca="false">IF(ABS(F208-G208)&lt;=0.01,"PASS","CHECK")</f>
        <v>PASS</v>
      </c>
    </row>
    <row r="209" customFormat="false" ht="15" hidden="false" customHeight="true" outlineLevel="0" collapsed="false">
      <c r="A209" s="1" t="s">
        <v>74</v>
      </c>
      <c r="B209" s="7" t="n">
        <v>45778</v>
      </c>
      <c r="C209" s="1" t="s">
        <v>191</v>
      </c>
      <c r="D209" s="1" t="s">
        <v>189</v>
      </c>
      <c r="E209" s="1" t="s">
        <v>156</v>
      </c>
      <c r="F209" s="1" t="n">
        <v>545.89</v>
      </c>
      <c r="G209" s="1" t="n">
        <v>545.89</v>
      </c>
      <c r="H209" s="1" t="str">
        <f aca="false">IF(ABS(F209-G209)&lt;=0.01,"PASS","CHECK")</f>
        <v>PASS</v>
      </c>
    </row>
    <row r="210" customFormat="false" ht="15" hidden="false" customHeight="true" outlineLevel="0" collapsed="false">
      <c r="A210" s="1" t="s">
        <v>74</v>
      </c>
      <c r="B210" s="7" t="n">
        <v>45809</v>
      </c>
      <c r="C210" s="1" t="s">
        <v>191</v>
      </c>
      <c r="D210" s="1" t="s">
        <v>189</v>
      </c>
      <c r="E210" s="1" t="s">
        <v>156</v>
      </c>
      <c r="F210" s="1" t="n">
        <v>566.84</v>
      </c>
      <c r="G210" s="1" t="n">
        <v>566.84</v>
      </c>
      <c r="H210" s="1" t="str">
        <f aca="false">IF(ABS(F210-G210)&lt;=0.01,"PASS","CHECK")</f>
        <v>PASS</v>
      </c>
    </row>
    <row r="211" customFormat="false" ht="15" hidden="false" customHeight="true" outlineLevel="0" collapsed="false">
      <c r="A211" s="1" t="s">
        <v>74</v>
      </c>
      <c r="B211" s="7" t="n">
        <v>45839</v>
      </c>
      <c r="C211" s="1" t="s">
        <v>191</v>
      </c>
      <c r="D211" s="1" t="s">
        <v>189</v>
      </c>
      <c r="E211" s="1" t="s">
        <v>156</v>
      </c>
      <c r="F211" s="1" t="n">
        <v>551.23</v>
      </c>
      <c r="G211" s="1" t="n">
        <v>551.23</v>
      </c>
      <c r="H211" s="1" t="str">
        <f aca="false">IF(ABS(F211-G211)&lt;=0.01,"PASS","CHECK")</f>
        <v>PASS</v>
      </c>
    </row>
    <row r="212" customFormat="false" ht="15" hidden="false" customHeight="true" outlineLevel="0" collapsed="false">
      <c r="A212" s="1" t="s">
        <v>74</v>
      </c>
      <c r="B212" s="7" t="n">
        <v>45870</v>
      </c>
      <c r="C212" s="1" t="s">
        <v>191</v>
      </c>
      <c r="D212" s="1" t="s">
        <v>189</v>
      </c>
      <c r="E212" s="1" t="s">
        <v>156</v>
      </c>
      <c r="F212" s="1" t="n">
        <v>572.39</v>
      </c>
      <c r="G212" s="1" t="n">
        <v>572.39</v>
      </c>
      <c r="H212" s="1" t="str">
        <f aca="false">IF(ABS(F212-G212)&lt;=0.01,"PASS","CHECK")</f>
        <v>PASS</v>
      </c>
    </row>
    <row r="213" customFormat="false" ht="15" hidden="false" customHeight="true" outlineLevel="0" collapsed="false">
      <c r="A213" s="1" t="s">
        <v>74</v>
      </c>
      <c r="B213" s="7" t="n">
        <v>45901</v>
      </c>
      <c r="C213" s="1" t="s">
        <v>191</v>
      </c>
      <c r="D213" s="1" t="s">
        <v>189</v>
      </c>
      <c r="E213" s="1" t="s">
        <v>156</v>
      </c>
      <c r="F213" s="1" t="n">
        <v>575.23</v>
      </c>
      <c r="G213" s="1" t="n">
        <v>575.23</v>
      </c>
      <c r="H213" s="1" t="str">
        <f aca="false">IF(ABS(F213-G213)&lt;=0.01,"PASS","CHECK")</f>
        <v>PASS</v>
      </c>
    </row>
    <row r="214" customFormat="false" ht="15" hidden="false" customHeight="true" outlineLevel="0" collapsed="false">
      <c r="A214" s="1" t="s">
        <v>74</v>
      </c>
      <c r="B214" s="7" t="n">
        <v>45931</v>
      </c>
      <c r="C214" s="1" t="s">
        <v>191</v>
      </c>
      <c r="D214" s="1" t="s">
        <v>189</v>
      </c>
      <c r="E214" s="1" t="s">
        <v>156</v>
      </c>
      <c r="F214" s="1" t="n">
        <v>559.39</v>
      </c>
      <c r="G214" s="1" t="n">
        <v>559.39</v>
      </c>
      <c r="H214" s="1" t="str">
        <f aca="false">IF(ABS(F214-G214)&lt;=0.01,"PASS","CHECK")</f>
        <v>PASS</v>
      </c>
    </row>
    <row r="215" customFormat="false" ht="15" hidden="false" customHeight="true" outlineLevel="0" collapsed="false">
      <c r="A215" s="1" t="s">
        <v>74</v>
      </c>
      <c r="B215" s="7" t="n">
        <v>45962</v>
      </c>
      <c r="C215" s="1" t="s">
        <v>191</v>
      </c>
      <c r="D215" s="1" t="s">
        <v>189</v>
      </c>
      <c r="E215" s="1" t="s">
        <v>156</v>
      </c>
      <c r="F215" s="1" t="n">
        <v>580.86</v>
      </c>
      <c r="G215" s="1" t="n">
        <v>580.86</v>
      </c>
      <c r="H215" s="1" t="str">
        <f aca="false">IF(ABS(F215-G215)&lt;=0.01,"PASS","CHECK")</f>
        <v>PASS</v>
      </c>
    </row>
    <row r="216" customFormat="false" ht="15" hidden="false" customHeight="true" outlineLevel="0" collapsed="false">
      <c r="A216" s="1" t="s">
        <v>74</v>
      </c>
      <c r="B216" s="7" t="n">
        <v>45992</v>
      </c>
      <c r="C216" s="1" t="s">
        <v>191</v>
      </c>
      <c r="D216" s="1" t="s">
        <v>189</v>
      </c>
      <c r="E216" s="1" t="s">
        <v>156</v>
      </c>
      <c r="F216" s="1" t="n">
        <v>564.86</v>
      </c>
      <c r="G216" s="1" t="n">
        <v>564.86</v>
      </c>
      <c r="H216" s="1" t="str">
        <f aca="false">IF(ABS(F216-G216)&lt;=0.01,"PASS","CHECK")</f>
        <v>PASS</v>
      </c>
    </row>
    <row r="217" customFormat="false" ht="15" hidden="false" customHeight="true" outlineLevel="0" collapsed="false">
      <c r="A217" s="1" t="s">
        <v>74</v>
      </c>
      <c r="B217" s="7" t="n">
        <v>46023</v>
      </c>
      <c r="C217" s="1" t="s">
        <v>191</v>
      </c>
      <c r="D217" s="1" t="s">
        <v>189</v>
      </c>
      <c r="E217" s="1" t="s">
        <v>156</v>
      </c>
      <c r="F217" s="1" t="n">
        <v>586.54</v>
      </c>
      <c r="G217" s="1" t="n">
        <v>586.54</v>
      </c>
      <c r="H217" s="1" t="str">
        <f aca="false">IF(ABS(F217-G217)&lt;=0.01,"PASS","CHECK")</f>
        <v>PASS</v>
      </c>
    </row>
    <row r="218" customFormat="false" ht="15" hidden="false" customHeight="true" outlineLevel="0" collapsed="false">
      <c r="A218" s="1" t="s">
        <v>74</v>
      </c>
      <c r="B218" s="7" t="n">
        <v>46054</v>
      </c>
      <c r="C218" s="1" t="s">
        <v>191</v>
      </c>
      <c r="D218" s="1" t="s">
        <v>189</v>
      </c>
      <c r="E218" s="1" t="s">
        <v>156</v>
      </c>
      <c r="F218" s="1" t="n">
        <v>589.45</v>
      </c>
      <c r="G218" s="1" t="n">
        <v>589.45</v>
      </c>
      <c r="H218" s="1" t="str">
        <f aca="false">IF(ABS(F218-G218)&lt;=0.01,"PASS","CHECK")</f>
        <v>PASS</v>
      </c>
    </row>
    <row r="219" customFormat="false" ht="15" hidden="false" customHeight="true" outlineLevel="0" collapsed="false">
      <c r="A219" s="1" t="s">
        <v>74</v>
      </c>
      <c r="B219" s="7" t="n">
        <v>46082</v>
      </c>
      <c r="C219" s="1" t="s">
        <v>191</v>
      </c>
      <c r="D219" s="1" t="s">
        <v>189</v>
      </c>
      <c r="E219" s="1" t="s">
        <v>156</v>
      </c>
      <c r="F219" s="1" t="n">
        <v>534.92</v>
      </c>
      <c r="G219" s="1" t="n">
        <v>534.92</v>
      </c>
      <c r="H219" s="1" t="str">
        <f aca="false">IF(ABS(F219-G219)&lt;=0.01,"PASS","CHECK")</f>
        <v>PASS</v>
      </c>
    </row>
    <row r="220" customFormat="false" ht="15" hidden="false" customHeight="true" outlineLevel="0" collapsed="false">
      <c r="A220" s="1" t="s">
        <v>74</v>
      </c>
      <c r="B220" s="7" t="n">
        <v>46113</v>
      </c>
      <c r="C220" s="1" t="s">
        <v>191</v>
      </c>
      <c r="D220" s="1" t="s">
        <v>189</v>
      </c>
      <c r="E220" s="1" t="s">
        <v>156</v>
      </c>
      <c r="F220" s="1" t="n">
        <v>595.03</v>
      </c>
      <c r="G220" s="1" t="n">
        <v>595.03</v>
      </c>
      <c r="H220" s="1" t="str">
        <f aca="false">IF(ABS(F220-G220)&lt;=0.01,"PASS","CHECK")</f>
        <v>PASS</v>
      </c>
    </row>
    <row r="221" customFormat="false" ht="15" hidden="false" customHeight="true" outlineLevel="0" collapsed="false">
      <c r="A221" s="1" t="s">
        <v>74</v>
      </c>
      <c r="B221" s="7" t="n">
        <v>46143</v>
      </c>
      <c r="C221" s="1" t="s">
        <v>191</v>
      </c>
      <c r="D221" s="1" t="s">
        <v>189</v>
      </c>
      <c r="E221" s="1" t="s">
        <v>156</v>
      </c>
      <c r="F221" s="1" t="n">
        <v>578.65</v>
      </c>
      <c r="G221" s="1" t="n">
        <v>578.65</v>
      </c>
      <c r="H221" s="1" t="str">
        <f aca="false">IF(ABS(F221-G221)&lt;=0.01,"PASS","CHECK")</f>
        <v>PASS</v>
      </c>
    </row>
    <row r="222" customFormat="false" ht="15" hidden="false" customHeight="true" outlineLevel="0" collapsed="false">
      <c r="A222" s="1" t="s">
        <v>74</v>
      </c>
      <c r="B222" s="7" t="n">
        <v>46174</v>
      </c>
      <c r="C222" s="1" t="s">
        <v>191</v>
      </c>
      <c r="D222" s="1" t="s">
        <v>189</v>
      </c>
      <c r="E222" s="1" t="s">
        <v>156</v>
      </c>
      <c r="F222" s="1" t="n">
        <v>600.85</v>
      </c>
      <c r="G222" s="1" t="n">
        <v>600.85</v>
      </c>
      <c r="H222" s="1" t="str">
        <f aca="false">IF(ABS(F222-G222)&lt;=0.01,"PASS","CHECK")</f>
        <v>PASS</v>
      </c>
    </row>
    <row r="223" customFormat="false" ht="15" hidden="false" customHeight="true" outlineLevel="0" collapsed="false">
      <c r="A223" s="1" t="s">
        <v>74</v>
      </c>
      <c r="B223" s="7" t="n">
        <v>46204</v>
      </c>
      <c r="C223" s="1" t="s">
        <v>191</v>
      </c>
      <c r="D223" s="1" t="s">
        <v>189</v>
      </c>
      <c r="E223" s="1" t="s">
        <v>156</v>
      </c>
      <c r="F223" s="1" t="n">
        <v>584.31</v>
      </c>
      <c r="G223" s="1" t="n">
        <v>584.31</v>
      </c>
      <c r="H223" s="1" t="str">
        <f aca="false">IF(ABS(F223-G223)&lt;=0.01,"PASS","CHECK")</f>
        <v>PASS</v>
      </c>
    </row>
    <row r="224" customFormat="false" ht="15" hidden="false" customHeight="true" outlineLevel="0" collapsed="false">
      <c r="A224" s="1" t="s">
        <v>74</v>
      </c>
      <c r="B224" s="7" t="n">
        <v>46235</v>
      </c>
      <c r="C224" s="1" t="s">
        <v>191</v>
      </c>
      <c r="D224" s="1" t="s">
        <v>189</v>
      </c>
      <c r="E224" s="1" t="s">
        <v>156</v>
      </c>
      <c r="F224" s="1" t="n">
        <v>606.73</v>
      </c>
      <c r="G224" s="1" t="n">
        <v>606.73</v>
      </c>
      <c r="H224" s="1" t="str">
        <f aca="false">IF(ABS(F224-G224)&lt;=0.01,"PASS","CHECK")</f>
        <v>PASS</v>
      </c>
    </row>
    <row r="225" customFormat="false" ht="15" hidden="false" customHeight="true" outlineLevel="0" collapsed="false">
      <c r="A225" s="1" t="s">
        <v>74</v>
      </c>
      <c r="B225" s="7" t="n">
        <v>46266</v>
      </c>
      <c r="C225" s="1" t="s">
        <v>191</v>
      </c>
      <c r="D225" s="1" t="s">
        <v>189</v>
      </c>
      <c r="E225" s="1" t="s">
        <v>156</v>
      </c>
      <c r="F225" s="1" t="n">
        <v>609.74</v>
      </c>
      <c r="G225" s="1" t="n">
        <v>609.74</v>
      </c>
      <c r="H225" s="1" t="str">
        <f aca="false">IF(ABS(F225-G225)&lt;=0.01,"PASS","CHECK")</f>
        <v>PASS</v>
      </c>
    </row>
    <row r="226" customFormat="false" ht="15" hidden="false" customHeight="true" outlineLevel="0" collapsed="false">
      <c r="A226" s="1" t="s">
        <v>74</v>
      </c>
      <c r="B226" s="7" t="n">
        <v>46271</v>
      </c>
      <c r="C226" s="1" t="s">
        <v>191</v>
      </c>
      <c r="D226" s="1" t="s">
        <v>189</v>
      </c>
      <c r="E226" s="1" t="s">
        <v>156</v>
      </c>
      <c r="F226" s="1" t="n">
        <v>98.63</v>
      </c>
      <c r="G226" s="1" t="n">
        <v>98.63</v>
      </c>
      <c r="H226" s="1" t="str">
        <f aca="false">IF(ABS(F226-G226)&lt;=0.01,"PASS","CHECK")</f>
        <v>PASS</v>
      </c>
    </row>
    <row r="227" customFormat="false" ht="15" hidden="false" customHeight="true" outlineLevel="0" collapsed="false">
      <c r="A227" s="1" t="s">
        <v>74</v>
      </c>
      <c r="B227" s="7" t="n">
        <v>45658</v>
      </c>
      <c r="C227" s="1" t="s">
        <v>192</v>
      </c>
      <c r="D227" s="1" t="s">
        <v>193</v>
      </c>
      <c r="E227" s="1" t="s">
        <v>182</v>
      </c>
      <c r="F227" s="1" t="n">
        <v>16141.45</v>
      </c>
      <c r="G227" s="1" t="n">
        <v>16141.45</v>
      </c>
      <c r="H227" s="1" t="str">
        <f aca="false">IF(ABS(F227-G227)&lt;=0.01,"PASS","CHECK")</f>
        <v>PASS</v>
      </c>
    </row>
    <row r="228" customFormat="false" ht="15" hidden="false" customHeight="true" outlineLevel="0" collapsed="false">
      <c r="A228" s="1" t="s">
        <v>74</v>
      </c>
      <c r="B228" s="7" t="n">
        <v>46023</v>
      </c>
      <c r="C228" s="1" t="s">
        <v>192</v>
      </c>
      <c r="D228" s="1" t="s">
        <v>193</v>
      </c>
      <c r="E228" s="1" t="s">
        <v>182</v>
      </c>
      <c r="F228" s="1" t="n">
        <v>17548.15</v>
      </c>
      <c r="G228" s="1" t="n">
        <v>17548.15</v>
      </c>
      <c r="H228" s="1" t="str">
        <f aca="false">IF(ABS(F228-G228)&lt;=0.01,"PASS","CHECK")</f>
        <v>PASS</v>
      </c>
    </row>
    <row r="229" customFormat="false" ht="15" hidden="false" customHeight="true" outlineLevel="0" collapsed="false">
      <c r="A229" s="1" t="s">
        <v>74</v>
      </c>
      <c r="B229" s="7" t="n">
        <v>46271</v>
      </c>
      <c r="C229" s="1" t="s">
        <v>192</v>
      </c>
      <c r="D229" s="1" t="s">
        <v>193</v>
      </c>
      <c r="E229" s="1" t="s">
        <v>182</v>
      </c>
      <c r="F229" s="1" t="n">
        <v>12815.8</v>
      </c>
      <c r="G229" s="1" t="n">
        <v>12815.8</v>
      </c>
      <c r="H229" s="1" t="str">
        <f aca="false">IF(ABS(F229-G229)&lt;=0.01,"PASS","CHECK")</f>
        <v>PASS</v>
      </c>
    </row>
    <row r="230" customFormat="false" ht="15" hidden="false" customHeight="true" outlineLevel="0" collapsed="false">
      <c r="A230" s="1" t="s">
        <v>74</v>
      </c>
      <c r="B230" s="7" t="n">
        <v>46271</v>
      </c>
      <c r="C230" s="1" t="s">
        <v>194</v>
      </c>
      <c r="D230" s="1" t="s">
        <v>195</v>
      </c>
      <c r="E230" s="1" t="s">
        <v>196</v>
      </c>
      <c r="F230" s="1" t="n">
        <v>834.38</v>
      </c>
      <c r="G230" s="1" t="n">
        <v>834.38</v>
      </c>
      <c r="H230" s="1" t="str">
        <f aca="false">IF(ABS(F230-G230)&lt;=0.01,"PASS","CHECK")</f>
        <v>PASS</v>
      </c>
    </row>
    <row r="231" customFormat="false" ht="15" hidden="false" customHeight="true" outlineLevel="0" collapsed="false">
      <c r="A231" s="1" t="s">
        <v>80</v>
      </c>
      <c r="B231" s="7" t="s">
        <v>201</v>
      </c>
      <c r="C231" s="1" t="s">
        <v>176</v>
      </c>
      <c r="D231" s="1" t="s">
        <v>177</v>
      </c>
      <c r="E231" s="1" t="s">
        <v>178</v>
      </c>
      <c r="F231" s="1" t="n">
        <v>784264.97</v>
      </c>
      <c r="G231" s="1" t="n">
        <v>784264.97</v>
      </c>
      <c r="H231" s="1" t="str">
        <f aca="false">IF(ABS(F231-G231)&lt;=0.01,"PASS","CHECK")</f>
        <v>PASS</v>
      </c>
    </row>
    <row r="232" customFormat="false" ht="15" hidden="false" customHeight="true" outlineLevel="0" collapsed="false">
      <c r="A232" s="1" t="s">
        <v>80</v>
      </c>
      <c r="B232" s="7" t="s">
        <v>201</v>
      </c>
      <c r="C232" s="1" t="s">
        <v>179</v>
      </c>
      <c r="D232" s="1" t="s">
        <v>177</v>
      </c>
      <c r="E232" s="1" t="s">
        <v>180</v>
      </c>
      <c r="F232" s="1" t="n">
        <v>25000</v>
      </c>
      <c r="G232" s="1" t="n">
        <v>25000</v>
      </c>
      <c r="H232" s="1" t="str">
        <f aca="false">IF(ABS(F232-G232)&lt;=0.01,"PASS","CHECK")</f>
        <v>PASS</v>
      </c>
    </row>
    <row r="233" customFormat="false" ht="15" hidden="false" customHeight="true" outlineLevel="0" collapsed="false">
      <c r="A233" s="1" t="s">
        <v>80</v>
      </c>
      <c r="B233" s="7" t="s">
        <v>201</v>
      </c>
      <c r="C233" s="1" t="s">
        <v>181</v>
      </c>
      <c r="D233" s="1" t="s">
        <v>177</v>
      </c>
      <c r="E233" s="1" t="s">
        <v>182</v>
      </c>
      <c r="F233" s="1" t="n">
        <v>340291.6</v>
      </c>
      <c r="G233" s="1" t="n">
        <v>340291.6</v>
      </c>
      <c r="H233" s="1" t="str">
        <f aca="false">IF(ABS(F233-G233)&lt;=0.01,"PASS","CHECK")</f>
        <v>PASS</v>
      </c>
    </row>
    <row r="234" customFormat="false" ht="15" hidden="false" customHeight="true" outlineLevel="0" collapsed="false">
      <c r="A234" s="1" t="s">
        <v>80</v>
      </c>
      <c r="B234" s="7" t="n">
        <v>46271</v>
      </c>
      <c r="C234" s="1" t="s">
        <v>200</v>
      </c>
      <c r="D234" s="1" t="s">
        <v>185</v>
      </c>
      <c r="E234" s="1" t="s">
        <v>178</v>
      </c>
      <c r="F234" s="1" t="n">
        <v>29809.02</v>
      </c>
      <c r="G234" s="1" t="n">
        <v>29809.02</v>
      </c>
      <c r="H234" s="1" t="str">
        <f aca="false">IF(ABS(F234-G234)&lt;=0.01,"PASS","CHECK")</f>
        <v>PASS</v>
      </c>
    </row>
    <row r="235" customFormat="false" ht="15" hidden="false" customHeight="true" outlineLevel="0" collapsed="false">
      <c r="A235" s="1" t="s">
        <v>80</v>
      </c>
      <c r="B235" s="7" t="n">
        <v>46113</v>
      </c>
      <c r="C235" s="1" t="s">
        <v>149</v>
      </c>
      <c r="D235" s="1" t="s">
        <v>186</v>
      </c>
      <c r="E235" s="1" t="s">
        <v>187</v>
      </c>
      <c r="F235" s="1" t="n">
        <v>20001.75</v>
      </c>
      <c r="G235" s="1" t="n">
        <v>20001.75</v>
      </c>
      <c r="H235" s="1" t="str">
        <f aca="false">IF(ABS(F235-G235)&lt;=0.01,"PASS","CHECK")</f>
        <v>PASS</v>
      </c>
    </row>
    <row r="236" customFormat="false" ht="15" hidden="false" customHeight="true" outlineLevel="0" collapsed="false">
      <c r="A236" s="1" t="s">
        <v>80</v>
      </c>
      <c r="B236" s="7" t="n">
        <v>46143</v>
      </c>
      <c r="C236" s="1" t="s">
        <v>149</v>
      </c>
      <c r="D236" s="1" t="s">
        <v>186</v>
      </c>
      <c r="E236" s="1" t="s">
        <v>187</v>
      </c>
      <c r="F236" s="1" t="n">
        <v>20001.75</v>
      </c>
      <c r="G236" s="1" t="n">
        <v>20001.75</v>
      </c>
      <c r="H236" s="1" t="str">
        <f aca="false">IF(ABS(F236-G236)&lt;=0.01,"PASS","CHECK")</f>
        <v>PASS</v>
      </c>
    </row>
    <row r="237" customFormat="false" ht="15" hidden="false" customHeight="true" outlineLevel="0" collapsed="false">
      <c r="A237" s="1" t="s">
        <v>80</v>
      </c>
      <c r="B237" s="7" t="n">
        <v>46174</v>
      </c>
      <c r="C237" s="1" t="s">
        <v>149</v>
      </c>
      <c r="D237" s="1" t="s">
        <v>186</v>
      </c>
      <c r="E237" s="1" t="s">
        <v>187</v>
      </c>
      <c r="F237" s="1" t="n">
        <v>20001.75</v>
      </c>
      <c r="G237" s="1" t="n">
        <v>20001.75</v>
      </c>
      <c r="H237" s="1" t="str">
        <f aca="false">IF(ABS(F237-G237)&lt;=0.01,"PASS","CHECK")</f>
        <v>PASS</v>
      </c>
    </row>
    <row r="238" customFormat="false" ht="15" hidden="false" customHeight="true" outlineLevel="0" collapsed="false">
      <c r="A238" s="1" t="s">
        <v>80</v>
      </c>
      <c r="B238" s="7" t="n">
        <v>46204</v>
      </c>
      <c r="C238" s="1" t="s">
        <v>149</v>
      </c>
      <c r="D238" s="1" t="s">
        <v>186</v>
      </c>
      <c r="E238" s="1" t="s">
        <v>187</v>
      </c>
      <c r="F238" s="1" t="n">
        <v>20001.75</v>
      </c>
      <c r="G238" s="1" t="n">
        <v>20001.75</v>
      </c>
      <c r="H238" s="1" t="str">
        <f aca="false">IF(ABS(F238-G238)&lt;=0.01,"PASS","CHECK")</f>
        <v>PASS</v>
      </c>
    </row>
    <row r="239" customFormat="false" ht="15" hidden="false" customHeight="true" outlineLevel="0" collapsed="false">
      <c r="A239" s="1" t="s">
        <v>80</v>
      </c>
      <c r="B239" s="7" t="n">
        <v>46235</v>
      </c>
      <c r="C239" s="1" t="s">
        <v>149</v>
      </c>
      <c r="D239" s="1" t="s">
        <v>186</v>
      </c>
      <c r="E239" s="1" t="s">
        <v>187</v>
      </c>
      <c r="F239" s="1" t="n">
        <v>20001.75</v>
      </c>
      <c r="G239" s="1" t="n">
        <v>20001.75</v>
      </c>
      <c r="H239" s="1" t="str">
        <f aca="false">IF(ABS(F239-G239)&lt;=0.01,"PASS","CHECK")</f>
        <v>PASS</v>
      </c>
    </row>
    <row r="240" customFormat="false" ht="15" hidden="false" customHeight="true" outlineLevel="0" collapsed="false">
      <c r="A240" s="1" t="s">
        <v>80</v>
      </c>
      <c r="B240" s="7" t="n">
        <v>46266</v>
      </c>
      <c r="C240" s="1" t="s">
        <v>149</v>
      </c>
      <c r="D240" s="1" t="s">
        <v>186</v>
      </c>
      <c r="E240" s="1" t="s">
        <v>187</v>
      </c>
      <c r="F240" s="1" t="n">
        <v>20001.75</v>
      </c>
      <c r="G240" s="1" t="n">
        <v>20001.75</v>
      </c>
      <c r="H240" s="1" t="str">
        <f aca="false">IF(ABS(F240-G240)&lt;=0.01,"PASS","CHECK")</f>
        <v>PASS</v>
      </c>
    </row>
    <row r="241" customFormat="false" ht="15" hidden="false" customHeight="true" outlineLevel="0" collapsed="false">
      <c r="A241" s="1" t="s">
        <v>80</v>
      </c>
      <c r="B241" s="7" t="s">
        <v>201</v>
      </c>
      <c r="C241" s="1" t="s">
        <v>188</v>
      </c>
      <c r="D241" s="1" t="s">
        <v>189</v>
      </c>
      <c r="E241" s="1" t="s">
        <v>180</v>
      </c>
      <c r="F241" s="1" t="n">
        <v>149451.63</v>
      </c>
      <c r="G241" s="1" t="n">
        <v>149451.63</v>
      </c>
      <c r="H241" s="1" t="str">
        <f aca="false">IF(ABS(F241-G241)&lt;=0.01,"PASS","CHECK")</f>
        <v>PASS</v>
      </c>
    </row>
    <row r="242" customFormat="false" ht="15" hidden="false" customHeight="true" outlineLevel="0" collapsed="false">
      <c r="A242" s="1" t="s">
        <v>80</v>
      </c>
      <c r="B242" s="7" t="s">
        <v>201</v>
      </c>
      <c r="C242" s="1" t="s">
        <v>190</v>
      </c>
      <c r="D242" s="1" t="s">
        <v>177</v>
      </c>
      <c r="E242" s="1" t="s">
        <v>180</v>
      </c>
      <c r="F242" s="1" t="n">
        <v>50548.37</v>
      </c>
      <c r="G242" s="1" t="n">
        <v>50548.37</v>
      </c>
      <c r="H242" s="1" t="str">
        <f aca="false">IF(ABS(F242-G242)&lt;=0.01,"PASS","CHECK")</f>
        <v>PASS</v>
      </c>
    </row>
    <row r="243" customFormat="false" ht="15" hidden="false" customHeight="true" outlineLevel="0" collapsed="false">
      <c r="A243" s="1" t="s">
        <v>80</v>
      </c>
      <c r="B243" s="7" t="n">
        <v>46143</v>
      </c>
      <c r="C243" s="1" t="s">
        <v>191</v>
      </c>
      <c r="D243" s="1" t="s">
        <v>189</v>
      </c>
      <c r="E243" s="1" t="s">
        <v>156</v>
      </c>
      <c r="F243" s="1" t="n">
        <v>717.47</v>
      </c>
      <c r="G243" s="1" t="n">
        <v>717.47</v>
      </c>
      <c r="H243" s="1" t="str">
        <f aca="false">IF(ABS(F243-G243)&lt;=0.01,"PASS","CHECK")</f>
        <v>PASS</v>
      </c>
    </row>
    <row r="244" customFormat="false" ht="15" hidden="false" customHeight="true" outlineLevel="0" collapsed="false">
      <c r="A244" s="1" t="s">
        <v>80</v>
      </c>
      <c r="B244" s="7" t="n">
        <v>46174</v>
      </c>
      <c r="C244" s="1" t="s">
        <v>191</v>
      </c>
      <c r="D244" s="1" t="s">
        <v>189</v>
      </c>
      <c r="E244" s="1" t="s">
        <v>156</v>
      </c>
      <c r="F244" s="1" t="n">
        <v>745.01</v>
      </c>
      <c r="G244" s="1" t="n">
        <v>745.01</v>
      </c>
      <c r="H244" s="1" t="str">
        <f aca="false">IF(ABS(F244-G244)&lt;=0.01,"PASS","CHECK")</f>
        <v>PASS</v>
      </c>
    </row>
    <row r="245" customFormat="false" ht="15" hidden="false" customHeight="true" outlineLevel="0" collapsed="false">
      <c r="A245" s="1" t="s">
        <v>80</v>
      </c>
      <c r="B245" s="7" t="n">
        <v>46204</v>
      </c>
      <c r="C245" s="1" t="s">
        <v>191</v>
      </c>
      <c r="D245" s="1" t="s">
        <v>189</v>
      </c>
      <c r="E245" s="1" t="s">
        <v>156</v>
      </c>
      <c r="F245" s="1" t="n">
        <v>724.5</v>
      </c>
      <c r="G245" s="1" t="n">
        <v>724.5</v>
      </c>
      <c r="H245" s="1" t="str">
        <f aca="false">IF(ABS(F245-G245)&lt;=0.01,"PASS","CHECK")</f>
        <v>PASS</v>
      </c>
    </row>
    <row r="246" customFormat="false" ht="15" hidden="false" customHeight="true" outlineLevel="0" collapsed="false">
      <c r="A246" s="1" t="s">
        <v>80</v>
      </c>
      <c r="B246" s="7" t="n">
        <v>46235</v>
      </c>
      <c r="C246" s="1" t="s">
        <v>191</v>
      </c>
      <c r="D246" s="1" t="s">
        <v>189</v>
      </c>
      <c r="E246" s="1" t="s">
        <v>156</v>
      </c>
      <c r="F246" s="1" t="n">
        <v>752.3</v>
      </c>
      <c r="G246" s="1" t="n">
        <v>752.3</v>
      </c>
      <c r="H246" s="1" t="str">
        <f aca="false">IF(ABS(F246-G246)&lt;=0.01,"PASS","CHECK")</f>
        <v>PASS</v>
      </c>
    </row>
    <row r="247" customFormat="false" ht="15" hidden="false" customHeight="true" outlineLevel="0" collapsed="false">
      <c r="A247" s="1" t="s">
        <v>80</v>
      </c>
      <c r="B247" s="7" t="n">
        <v>46266</v>
      </c>
      <c r="C247" s="1" t="s">
        <v>191</v>
      </c>
      <c r="D247" s="1" t="s">
        <v>189</v>
      </c>
      <c r="E247" s="1" t="s">
        <v>156</v>
      </c>
      <c r="F247" s="1" t="n">
        <v>756.03</v>
      </c>
      <c r="G247" s="1" t="n">
        <v>756.03</v>
      </c>
      <c r="H247" s="1" t="str">
        <f aca="false">IF(ABS(F247-G247)&lt;=0.01,"PASS","CHECK")</f>
        <v>PASS</v>
      </c>
    </row>
    <row r="248" customFormat="false" ht="15" hidden="false" customHeight="true" outlineLevel="0" collapsed="false">
      <c r="A248" s="1" t="s">
        <v>80</v>
      </c>
      <c r="B248" s="7" t="n">
        <v>46271</v>
      </c>
      <c r="C248" s="1" t="s">
        <v>191</v>
      </c>
      <c r="D248" s="1" t="s">
        <v>189</v>
      </c>
      <c r="E248" s="1" t="s">
        <v>156</v>
      </c>
      <c r="F248" s="1" t="n">
        <v>122.29</v>
      </c>
      <c r="G248" s="1" t="n">
        <v>122.29</v>
      </c>
      <c r="H248" s="1" t="str">
        <f aca="false">IF(ABS(F248-G248)&lt;=0.01,"PASS","CHECK")</f>
        <v>PASS</v>
      </c>
    </row>
    <row r="249" customFormat="false" ht="15" hidden="false" customHeight="true" outlineLevel="0" collapsed="false">
      <c r="A249" s="1" t="s">
        <v>80</v>
      </c>
      <c r="B249" s="7" t="n">
        <v>46271</v>
      </c>
      <c r="C249" s="1" t="s">
        <v>192</v>
      </c>
      <c r="D249" s="1" t="s">
        <v>193</v>
      </c>
      <c r="E249" s="1" t="s">
        <v>182</v>
      </c>
      <c r="F249" s="1" t="n">
        <v>11527.65</v>
      </c>
      <c r="G249" s="1" t="n">
        <v>11527.65</v>
      </c>
      <c r="H249" s="1" t="str">
        <f aca="false">IF(ABS(F249-G249)&lt;=0.01,"PASS","CHECK")</f>
        <v>PASS</v>
      </c>
    </row>
    <row r="250" customFormat="false" ht="15" hidden="false" customHeight="true" outlineLevel="0" collapsed="false">
      <c r="A250" s="1" t="s">
        <v>80</v>
      </c>
      <c r="B250" s="7" t="n">
        <v>46271</v>
      </c>
      <c r="C250" s="1" t="s">
        <v>194</v>
      </c>
      <c r="D250" s="1" t="s">
        <v>195</v>
      </c>
      <c r="E250" s="1" t="s">
        <v>196</v>
      </c>
      <c r="F250" s="1" t="n">
        <v>1532.69</v>
      </c>
      <c r="G250" s="1" t="n">
        <v>1532.69</v>
      </c>
      <c r="H250" s="1" t="str">
        <f aca="false">IF(ABS(F250-G250)&lt;=0.01,"PASS","CHECK")</f>
        <v>PASS</v>
      </c>
    </row>
    <row r="251" customFormat="false" ht="15" hidden="false" customHeight="true" outlineLevel="0" collapsed="false">
      <c r="A251" s="1" t="s">
        <v>84</v>
      </c>
      <c r="B251" s="7" t="s">
        <v>202</v>
      </c>
      <c r="C251" s="1" t="s">
        <v>176</v>
      </c>
      <c r="D251" s="1" t="s">
        <v>177</v>
      </c>
      <c r="E251" s="1" t="s">
        <v>178</v>
      </c>
      <c r="F251" s="1" t="n">
        <v>1652805.5</v>
      </c>
      <c r="G251" s="1" t="n">
        <v>1652805.5</v>
      </c>
      <c r="H251" s="1" t="str">
        <f aca="false">IF(ABS(F251-G251)&lt;=0.01,"PASS","CHECK")</f>
        <v>PASS</v>
      </c>
    </row>
    <row r="252" customFormat="false" ht="15" hidden="false" customHeight="true" outlineLevel="0" collapsed="false">
      <c r="A252" s="1" t="s">
        <v>84</v>
      </c>
      <c r="B252" s="7" t="n">
        <v>45703</v>
      </c>
      <c r="C252" s="1" t="s">
        <v>184</v>
      </c>
      <c r="D252" s="1" t="s">
        <v>185</v>
      </c>
      <c r="E252" s="1" t="s">
        <v>178</v>
      </c>
      <c r="F252" s="1" t="n">
        <v>14714.68</v>
      </c>
      <c r="G252" s="1" t="n">
        <v>14714.68</v>
      </c>
      <c r="H252" s="1" t="str">
        <f aca="false">IF(ABS(F252-G252)&lt;=0.01,"PASS","CHECK")</f>
        <v>PASS</v>
      </c>
    </row>
    <row r="253" customFormat="false" ht="15" hidden="false" customHeight="true" outlineLevel="0" collapsed="false">
      <c r="A253" s="1" t="s">
        <v>84</v>
      </c>
      <c r="B253" s="7" t="n">
        <v>45703</v>
      </c>
      <c r="C253" s="1" t="s">
        <v>183</v>
      </c>
      <c r="D253" s="1" t="s">
        <v>178</v>
      </c>
      <c r="E253" s="1" t="s">
        <v>180</v>
      </c>
      <c r="F253" s="1" t="n">
        <v>55000</v>
      </c>
      <c r="G253" s="1" t="n">
        <v>55000</v>
      </c>
      <c r="H253" s="1" t="str">
        <f aca="false">IF(ABS(F253-G253)&lt;=0.01,"PASS","CHECK")</f>
        <v>PASS</v>
      </c>
    </row>
    <row r="254" customFormat="false" ht="15" hidden="false" customHeight="true" outlineLevel="0" collapsed="false">
      <c r="A254" s="1" t="s">
        <v>84</v>
      </c>
      <c r="B254" s="7" t="n">
        <v>45731</v>
      </c>
      <c r="C254" s="1" t="s">
        <v>184</v>
      </c>
      <c r="D254" s="1" t="s">
        <v>185</v>
      </c>
      <c r="E254" s="1" t="s">
        <v>178</v>
      </c>
      <c r="F254" s="1" t="n">
        <v>12961.16</v>
      </c>
      <c r="G254" s="1" t="n">
        <v>12961.16</v>
      </c>
      <c r="H254" s="1" t="str">
        <f aca="false">IF(ABS(F254-G254)&lt;=0.01,"PASS","CHECK")</f>
        <v>PASS</v>
      </c>
    </row>
    <row r="255" customFormat="false" ht="15" hidden="false" customHeight="true" outlineLevel="0" collapsed="false">
      <c r="A255" s="1" t="s">
        <v>84</v>
      </c>
      <c r="B255" s="7" t="n">
        <v>45731</v>
      </c>
      <c r="C255" s="1" t="s">
        <v>183</v>
      </c>
      <c r="D255" s="1" t="s">
        <v>178</v>
      </c>
      <c r="E255" s="1" t="s">
        <v>180</v>
      </c>
      <c r="F255" s="1" t="n">
        <v>55000</v>
      </c>
      <c r="G255" s="1" t="n">
        <v>55000</v>
      </c>
      <c r="H255" s="1" t="str">
        <f aca="false">IF(ABS(F255-G255)&lt;=0.01,"PASS","CHECK")</f>
        <v>PASS</v>
      </c>
    </row>
    <row r="256" customFormat="false" ht="15" hidden="false" customHeight="true" outlineLevel="0" collapsed="false">
      <c r="A256" s="1" t="s">
        <v>84</v>
      </c>
      <c r="B256" s="7" t="n">
        <v>45762</v>
      </c>
      <c r="C256" s="1" t="s">
        <v>184</v>
      </c>
      <c r="D256" s="1" t="s">
        <v>185</v>
      </c>
      <c r="E256" s="1" t="s">
        <v>178</v>
      </c>
      <c r="F256" s="1" t="n">
        <v>13981.76</v>
      </c>
      <c r="G256" s="1" t="n">
        <v>13981.76</v>
      </c>
      <c r="H256" s="1" t="str">
        <f aca="false">IF(ABS(F256-G256)&lt;=0.01,"PASS","CHECK")</f>
        <v>PASS</v>
      </c>
    </row>
    <row r="257" customFormat="false" ht="15" hidden="false" customHeight="true" outlineLevel="0" collapsed="false">
      <c r="A257" s="1" t="s">
        <v>84</v>
      </c>
      <c r="B257" s="7" t="n">
        <v>45762</v>
      </c>
      <c r="C257" s="1" t="s">
        <v>183</v>
      </c>
      <c r="D257" s="1" t="s">
        <v>178</v>
      </c>
      <c r="E257" s="1" t="s">
        <v>180</v>
      </c>
      <c r="F257" s="1" t="n">
        <v>55000</v>
      </c>
      <c r="G257" s="1" t="n">
        <v>55000</v>
      </c>
      <c r="H257" s="1" t="str">
        <f aca="false">IF(ABS(F257-G257)&lt;=0.01,"PASS","CHECK")</f>
        <v>PASS</v>
      </c>
    </row>
    <row r="258" customFormat="false" ht="15" hidden="false" customHeight="true" outlineLevel="0" collapsed="false">
      <c r="A258" s="1" t="s">
        <v>84</v>
      </c>
      <c r="B258" s="7" t="n">
        <v>45792</v>
      </c>
      <c r="C258" s="1" t="s">
        <v>184</v>
      </c>
      <c r="D258" s="1" t="s">
        <v>185</v>
      </c>
      <c r="E258" s="1" t="s">
        <v>178</v>
      </c>
      <c r="F258" s="1" t="n">
        <v>13175.45</v>
      </c>
      <c r="G258" s="1" t="n">
        <v>13175.45</v>
      </c>
      <c r="H258" s="1" t="str">
        <f aca="false">IF(ABS(F258-G258)&lt;=0.01,"PASS","CHECK")</f>
        <v>PASS</v>
      </c>
    </row>
    <row r="259" customFormat="false" ht="15" hidden="false" customHeight="true" outlineLevel="0" collapsed="false">
      <c r="A259" s="1" t="s">
        <v>84</v>
      </c>
      <c r="B259" s="7" t="n">
        <v>45792</v>
      </c>
      <c r="C259" s="1" t="s">
        <v>183</v>
      </c>
      <c r="D259" s="1" t="s">
        <v>178</v>
      </c>
      <c r="E259" s="1" t="s">
        <v>180</v>
      </c>
      <c r="F259" s="1" t="n">
        <v>55000</v>
      </c>
      <c r="G259" s="1" t="n">
        <v>55000</v>
      </c>
      <c r="H259" s="1" t="str">
        <f aca="false">IF(ABS(F259-G259)&lt;=0.01,"PASS","CHECK")</f>
        <v>PASS</v>
      </c>
    </row>
    <row r="260" customFormat="false" ht="15" hidden="false" customHeight="true" outlineLevel="0" collapsed="false">
      <c r="A260" s="1" t="s">
        <v>84</v>
      </c>
      <c r="B260" s="7" t="n">
        <v>45823</v>
      </c>
      <c r="C260" s="1" t="s">
        <v>184</v>
      </c>
      <c r="D260" s="1" t="s">
        <v>185</v>
      </c>
      <c r="E260" s="1" t="s">
        <v>178</v>
      </c>
      <c r="F260" s="1" t="n">
        <v>13244.22</v>
      </c>
      <c r="G260" s="1" t="n">
        <v>13244.22</v>
      </c>
      <c r="H260" s="1" t="str">
        <f aca="false">IF(ABS(F260-G260)&lt;=0.01,"PASS","CHECK")</f>
        <v>PASS</v>
      </c>
    </row>
    <row r="261" customFormat="false" ht="15" hidden="false" customHeight="true" outlineLevel="0" collapsed="false">
      <c r="A261" s="1" t="s">
        <v>84</v>
      </c>
      <c r="B261" s="7" t="n">
        <v>45823</v>
      </c>
      <c r="C261" s="1" t="s">
        <v>183</v>
      </c>
      <c r="D261" s="1" t="s">
        <v>178</v>
      </c>
      <c r="E261" s="1" t="s">
        <v>180</v>
      </c>
      <c r="F261" s="1" t="n">
        <v>55000</v>
      </c>
      <c r="G261" s="1" t="n">
        <v>55000</v>
      </c>
      <c r="H261" s="1" t="str">
        <f aca="false">IF(ABS(F261-G261)&lt;=0.01,"PASS","CHECK")</f>
        <v>PASS</v>
      </c>
    </row>
    <row r="262" customFormat="false" ht="15" hidden="false" customHeight="true" outlineLevel="0" collapsed="false">
      <c r="A262" s="1" t="s">
        <v>84</v>
      </c>
      <c r="B262" s="7" t="n">
        <v>45853</v>
      </c>
      <c r="C262" s="1" t="s">
        <v>184</v>
      </c>
      <c r="D262" s="1" t="s">
        <v>185</v>
      </c>
      <c r="E262" s="1" t="s">
        <v>178</v>
      </c>
      <c r="F262" s="1" t="n">
        <v>12455.45</v>
      </c>
      <c r="G262" s="1" t="n">
        <v>12455.45</v>
      </c>
      <c r="H262" s="1" t="str">
        <f aca="false">IF(ABS(F262-G262)&lt;=0.01,"PASS","CHECK")</f>
        <v>PASS</v>
      </c>
    </row>
    <row r="263" customFormat="false" ht="15" hidden="false" customHeight="true" outlineLevel="0" collapsed="false">
      <c r="A263" s="1" t="s">
        <v>84</v>
      </c>
      <c r="B263" s="7" t="n">
        <v>45853</v>
      </c>
      <c r="C263" s="1" t="s">
        <v>183</v>
      </c>
      <c r="D263" s="1" t="s">
        <v>178</v>
      </c>
      <c r="E263" s="1" t="s">
        <v>180</v>
      </c>
      <c r="F263" s="1" t="n">
        <v>55000</v>
      </c>
      <c r="G263" s="1" t="n">
        <v>55000</v>
      </c>
      <c r="H263" s="1" t="str">
        <f aca="false">IF(ABS(F263-G263)&lt;=0.01,"PASS","CHECK")</f>
        <v>PASS</v>
      </c>
    </row>
    <row r="264" customFormat="false" ht="15" hidden="false" customHeight="true" outlineLevel="0" collapsed="false">
      <c r="A264" s="1" t="s">
        <v>84</v>
      </c>
      <c r="B264" s="7" t="n">
        <v>45884</v>
      </c>
      <c r="C264" s="1" t="s">
        <v>184</v>
      </c>
      <c r="D264" s="1" t="s">
        <v>185</v>
      </c>
      <c r="E264" s="1" t="s">
        <v>178</v>
      </c>
      <c r="F264" s="1" t="n">
        <v>12493.71</v>
      </c>
      <c r="G264" s="1" t="n">
        <v>12493.71</v>
      </c>
      <c r="H264" s="1" t="str">
        <f aca="false">IF(ABS(F264-G264)&lt;=0.01,"PASS","CHECK")</f>
        <v>PASS</v>
      </c>
    </row>
    <row r="265" customFormat="false" ht="15" hidden="false" customHeight="true" outlineLevel="0" collapsed="false">
      <c r="A265" s="1" t="s">
        <v>84</v>
      </c>
      <c r="B265" s="7" t="n">
        <v>45884</v>
      </c>
      <c r="C265" s="1" t="s">
        <v>183</v>
      </c>
      <c r="D265" s="1" t="s">
        <v>178</v>
      </c>
      <c r="E265" s="1" t="s">
        <v>180</v>
      </c>
      <c r="F265" s="1" t="n">
        <v>55000</v>
      </c>
      <c r="G265" s="1" t="n">
        <v>55000</v>
      </c>
      <c r="H265" s="1" t="str">
        <f aca="false">IF(ABS(F265-G265)&lt;=0.01,"PASS","CHECK")</f>
        <v>PASS</v>
      </c>
    </row>
    <row r="266" customFormat="false" ht="15" hidden="false" customHeight="true" outlineLevel="0" collapsed="false">
      <c r="A266" s="1" t="s">
        <v>84</v>
      </c>
      <c r="B266" s="7" t="n">
        <v>45915</v>
      </c>
      <c r="C266" s="1" t="s">
        <v>184</v>
      </c>
      <c r="D266" s="1" t="s">
        <v>185</v>
      </c>
      <c r="E266" s="1" t="s">
        <v>178</v>
      </c>
      <c r="F266" s="1" t="n">
        <v>12115.28</v>
      </c>
      <c r="G266" s="1" t="n">
        <v>12115.28</v>
      </c>
      <c r="H266" s="1" t="str">
        <f aca="false">IF(ABS(F266-G266)&lt;=0.01,"PASS","CHECK")</f>
        <v>PASS</v>
      </c>
    </row>
    <row r="267" customFormat="false" ht="15" hidden="false" customHeight="true" outlineLevel="0" collapsed="false">
      <c r="A267" s="1" t="s">
        <v>84</v>
      </c>
      <c r="B267" s="7" t="n">
        <v>45915</v>
      </c>
      <c r="C267" s="1" t="s">
        <v>183</v>
      </c>
      <c r="D267" s="1" t="s">
        <v>178</v>
      </c>
      <c r="E267" s="1" t="s">
        <v>180</v>
      </c>
      <c r="F267" s="1" t="n">
        <v>55000</v>
      </c>
      <c r="G267" s="1" t="n">
        <v>55000</v>
      </c>
      <c r="H267" s="1" t="str">
        <f aca="false">IF(ABS(F267-G267)&lt;=0.01,"PASS","CHECK")</f>
        <v>PASS</v>
      </c>
    </row>
    <row r="268" customFormat="false" ht="15" hidden="false" customHeight="true" outlineLevel="0" collapsed="false">
      <c r="A268" s="1" t="s">
        <v>84</v>
      </c>
      <c r="B268" s="7" t="n">
        <v>45945</v>
      </c>
      <c r="C268" s="1" t="s">
        <v>184</v>
      </c>
      <c r="D268" s="1" t="s">
        <v>185</v>
      </c>
      <c r="E268" s="1" t="s">
        <v>178</v>
      </c>
      <c r="F268" s="1" t="n">
        <v>11353.36</v>
      </c>
      <c r="G268" s="1" t="n">
        <v>11353.36</v>
      </c>
      <c r="H268" s="1" t="str">
        <f aca="false">IF(ABS(F268-G268)&lt;=0.01,"PASS","CHECK")</f>
        <v>PASS</v>
      </c>
    </row>
    <row r="269" customFormat="false" ht="15" hidden="false" customHeight="true" outlineLevel="0" collapsed="false">
      <c r="A269" s="1" t="s">
        <v>84</v>
      </c>
      <c r="B269" s="7" t="n">
        <v>45945</v>
      </c>
      <c r="C269" s="1" t="s">
        <v>183</v>
      </c>
      <c r="D269" s="1" t="s">
        <v>178</v>
      </c>
      <c r="E269" s="1" t="s">
        <v>180</v>
      </c>
      <c r="F269" s="1" t="n">
        <v>55000</v>
      </c>
      <c r="G269" s="1" t="n">
        <v>55000</v>
      </c>
      <c r="H269" s="1" t="str">
        <f aca="false">IF(ABS(F269-G269)&lt;=0.01,"PASS","CHECK")</f>
        <v>PASS</v>
      </c>
    </row>
    <row r="270" customFormat="false" ht="15" hidden="false" customHeight="true" outlineLevel="0" collapsed="false">
      <c r="A270" s="1" t="s">
        <v>84</v>
      </c>
      <c r="B270" s="7" t="n">
        <v>45976</v>
      </c>
      <c r="C270" s="1" t="s">
        <v>184</v>
      </c>
      <c r="D270" s="1" t="s">
        <v>185</v>
      </c>
      <c r="E270" s="1" t="s">
        <v>178</v>
      </c>
      <c r="F270" s="1" t="n">
        <v>11344.91</v>
      </c>
      <c r="G270" s="1" t="n">
        <v>11344.91</v>
      </c>
      <c r="H270" s="1" t="str">
        <f aca="false">IF(ABS(F270-G270)&lt;=0.01,"PASS","CHECK")</f>
        <v>PASS</v>
      </c>
    </row>
    <row r="271" customFormat="false" ht="15" hidden="false" customHeight="true" outlineLevel="0" collapsed="false">
      <c r="A271" s="1" t="s">
        <v>84</v>
      </c>
      <c r="B271" s="7" t="n">
        <v>45976</v>
      </c>
      <c r="C271" s="1" t="s">
        <v>183</v>
      </c>
      <c r="D271" s="1" t="s">
        <v>178</v>
      </c>
      <c r="E271" s="1" t="s">
        <v>180</v>
      </c>
      <c r="F271" s="1" t="n">
        <v>55000</v>
      </c>
      <c r="G271" s="1" t="n">
        <v>55000</v>
      </c>
      <c r="H271" s="1" t="str">
        <f aca="false">IF(ABS(F271-G271)&lt;=0.01,"PASS","CHECK")</f>
        <v>PASS</v>
      </c>
    </row>
    <row r="272" customFormat="false" ht="15" hidden="false" customHeight="true" outlineLevel="0" collapsed="false">
      <c r="A272" s="1" t="s">
        <v>84</v>
      </c>
      <c r="B272" s="7" t="n">
        <v>46006</v>
      </c>
      <c r="C272" s="1" t="s">
        <v>184</v>
      </c>
      <c r="D272" s="1" t="s">
        <v>185</v>
      </c>
      <c r="E272" s="1" t="s">
        <v>178</v>
      </c>
      <c r="F272" s="1" t="n">
        <v>10601.31</v>
      </c>
      <c r="G272" s="1" t="n">
        <v>10601.31</v>
      </c>
      <c r="H272" s="1" t="str">
        <f aca="false">IF(ABS(F272-G272)&lt;=0.01,"PASS","CHECK")</f>
        <v>PASS</v>
      </c>
    </row>
    <row r="273" customFormat="false" ht="15" hidden="false" customHeight="true" outlineLevel="0" collapsed="false">
      <c r="A273" s="1" t="s">
        <v>84</v>
      </c>
      <c r="B273" s="7" t="n">
        <v>46006</v>
      </c>
      <c r="C273" s="1" t="s">
        <v>183</v>
      </c>
      <c r="D273" s="1" t="s">
        <v>178</v>
      </c>
      <c r="E273" s="1" t="s">
        <v>180</v>
      </c>
      <c r="F273" s="1" t="n">
        <v>55000</v>
      </c>
      <c r="G273" s="1" t="n">
        <v>55000</v>
      </c>
      <c r="H273" s="1" t="str">
        <f aca="false">IF(ABS(F273-G273)&lt;=0.01,"PASS","CHECK")</f>
        <v>PASS</v>
      </c>
    </row>
    <row r="274" customFormat="false" ht="15" hidden="false" customHeight="true" outlineLevel="0" collapsed="false">
      <c r="A274" s="1" t="s">
        <v>84</v>
      </c>
      <c r="B274" s="7" t="n">
        <v>46037</v>
      </c>
      <c r="C274" s="1" t="s">
        <v>184</v>
      </c>
      <c r="D274" s="1" t="s">
        <v>185</v>
      </c>
      <c r="E274" s="1" t="s">
        <v>178</v>
      </c>
      <c r="F274" s="1" t="n">
        <v>10560.98</v>
      </c>
      <c r="G274" s="1" t="n">
        <v>10560.98</v>
      </c>
      <c r="H274" s="1" t="str">
        <f aca="false">IF(ABS(F274-G274)&lt;=0.01,"PASS","CHECK")</f>
        <v>PASS</v>
      </c>
    </row>
    <row r="275" customFormat="false" ht="15" hidden="false" customHeight="true" outlineLevel="0" collapsed="false">
      <c r="A275" s="1" t="s">
        <v>84</v>
      </c>
      <c r="B275" s="7" t="n">
        <v>46037</v>
      </c>
      <c r="C275" s="1" t="s">
        <v>183</v>
      </c>
      <c r="D275" s="1" t="s">
        <v>178</v>
      </c>
      <c r="E275" s="1" t="s">
        <v>180</v>
      </c>
      <c r="F275" s="1" t="n">
        <v>55000</v>
      </c>
      <c r="G275" s="1" t="n">
        <v>55000</v>
      </c>
      <c r="H275" s="1" t="str">
        <f aca="false">IF(ABS(F275-G275)&lt;=0.01,"PASS","CHECK")</f>
        <v>PASS</v>
      </c>
    </row>
    <row r="276" customFormat="false" ht="15" hidden="false" customHeight="true" outlineLevel="0" collapsed="false">
      <c r="A276" s="1" t="s">
        <v>84</v>
      </c>
      <c r="B276" s="7" t="n">
        <v>46068</v>
      </c>
      <c r="C276" s="1" t="s">
        <v>184</v>
      </c>
      <c r="D276" s="1" t="s">
        <v>185</v>
      </c>
      <c r="E276" s="1" t="s">
        <v>178</v>
      </c>
      <c r="F276" s="1" t="n">
        <v>10165.34</v>
      </c>
      <c r="G276" s="1" t="n">
        <v>10165.34</v>
      </c>
      <c r="H276" s="1" t="str">
        <f aca="false">IF(ABS(F276-G276)&lt;=0.01,"PASS","CHECK")</f>
        <v>PASS</v>
      </c>
    </row>
    <row r="277" customFormat="false" ht="15" hidden="false" customHeight="true" outlineLevel="0" collapsed="false">
      <c r="A277" s="1" t="s">
        <v>84</v>
      </c>
      <c r="B277" s="7" t="n">
        <v>46068</v>
      </c>
      <c r="C277" s="1" t="s">
        <v>183</v>
      </c>
      <c r="D277" s="1" t="s">
        <v>178</v>
      </c>
      <c r="E277" s="1" t="s">
        <v>180</v>
      </c>
      <c r="F277" s="1" t="n">
        <v>55000</v>
      </c>
      <c r="G277" s="1" t="n">
        <v>55000</v>
      </c>
      <c r="H277" s="1" t="str">
        <f aca="false">IF(ABS(F277-G277)&lt;=0.01,"PASS","CHECK")</f>
        <v>PASS</v>
      </c>
    </row>
    <row r="278" customFormat="false" ht="15" hidden="false" customHeight="true" outlineLevel="0" collapsed="false">
      <c r="A278" s="1" t="s">
        <v>84</v>
      </c>
      <c r="B278" s="7" t="n">
        <v>46096</v>
      </c>
      <c r="C278" s="1" t="s">
        <v>184</v>
      </c>
      <c r="D278" s="1" t="s">
        <v>185</v>
      </c>
      <c r="E278" s="1" t="s">
        <v>178</v>
      </c>
      <c r="F278" s="1" t="n">
        <v>8817.28</v>
      </c>
      <c r="G278" s="1" t="n">
        <v>8817.28</v>
      </c>
      <c r="H278" s="1" t="str">
        <f aca="false">IF(ABS(F278-G278)&lt;=0.01,"PASS","CHECK")</f>
        <v>PASS</v>
      </c>
    </row>
    <row r="279" customFormat="false" ht="15" hidden="false" customHeight="true" outlineLevel="0" collapsed="false">
      <c r="A279" s="1" t="s">
        <v>84</v>
      </c>
      <c r="B279" s="7" t="n">
        <v>46096</v>
      </c>
      <c r="C279" s="1" t="s">
        <v>183</v>
      </c>
      <c r="D279" s="1" t="s">
        <v>178</v>
      </c>
      <c r="E279" s="1" t="s">
        <v>180</v>
      </c>
      <c r="F279" s="1" t="n">
        <v>55000</v>
      </c>
      <c r="G279" s="1" t="n">
        <v>55000</v>
      </c>
      <c r="H279" s="1" t="str">
        <f aca="false">IF(ABS(F279-G279)&lt;=0.01,"PASS","CHECK")</f>
        <v>PASS</v>
      </c>
    </row>
    <row r="280" customFormat="false" ht="15" hidden="false" customHeight="true" outlineLevel="0" collapsed="false">
      <c r="A280" s="1" t="s">
        <v>84</v>
      </c>
      <c r="B280" s="7" t="n">
        <v>46127</v>
      </c>
      <c r="C280" s="1" t="s">
        <v>184</v>
      </c>
      <c r="D280" s="1" t="s">
        <v>185</v>
      </c>
      <c r="E280" s="1" t="s">
        <v>178</v>
      </c>
      <c r="F280" s="1" t="n">
        <v>9355.03</v>
      </c>
      <c r="G280" s="1" t="n">
        <v>9355.03</v>
      </c>
      <c r="H280" s="1" t="str">
        <f aca="false">IF(ABS(F280-G280)&lt;=0.01,"PASS","CHECK")</f>
        <v>PASS</v>
      </c>
    </row>
    <row r="281" customFormat="false" ht="15" hidden="false" customHeight="true" outlineLevel="0" collapsed="false">
      <c r="A281" s="1" t="s">
        <v>84</v>
      </c>
      <c r="B281" s="7" t="n">
        <v>46127</v>
      </c>
      <c r="C281" s="1" t="s">
        <v>183</v>
      </c>
      <c r="D281" s="1" t="s">
        <v>178</v>
      </c>
      <c r="E281" s="1" t="s">
        <v>180</v>
      </c>
      <c r="F281" s="1" t="n">
        <v>55000</v>
      </c>
      <c r="G281" s="1" t="n">
        <v>55000</v>
      </c>
      <c r="H281" s="1" t="str">
        <f aca="false">IF(ABS(F281-G281)&lt;=0.01,"PASS","CHECK")</f>
        <v>PASS</v>
      </c>
    </row>
    <row r="282" customFormat="false" ht="15" hidden="false" customHeight="true" outlineLevel="0" collapsed="false">
      <c r="A282" s="1" t="s">
        <v>84</v>
      </c>
      <c r="B282" s="7" t="n">
        <v>46157</v>
      </c>
      <c r="C282" s="1" t="s">
        <v>184</v>
      </c>
      <c r="D282" s="1" t="s">
        <v>185</v>
      </c>
      <c r="E282" s="1" t="s">
        <v>178</v>
      </c>
      <c r="F282" s="1" t="n">
        <v>8658.75</v>
      </c>
      <c r="G282" s="1" t="n">
        <v>8658.75</v>
      </c>
      <c r="H282" s="1" t="str">
        <f aca="false">IF(ABS(F282-G282)&lt;=0.01,"PASS","CHECK")</f>
        <v>PASS</v>
      </c>
    </row>
    <row r="283" customFormat="false" ht="15" hidden="false" customHeight="true" outlineLevel="0" collapsed="false">
      <c r="A283" s="1" t="s">
        <v>84</v>
      </c>
      <c r="B283" s="7" t="n">
        <v>46157</v>
      </c>
      <c r="C283" s="1" t="s">
        <v>183</v>
      </c>
      <c r="D283" s="1" t="s">
        <v>178</v>
      </c>
      <c r="E283" s="1" t="s">
        <v>180</v>
      </c>
      <c r="F283" s="1" t="n">
        <v>55000</v>
      </c>
      <c r="G283" s="1" t="n">
        <v>55000</v>
      </c>
      <c r="H283" s="1" t="str">
        <f aca="false">IF(ABS(F283-G283)&lt;=0.01,"PASS","CHECK")</f>
        <v>PASS</v>
      </c>
    </row>
    <row r="284" customFormat="false" ht="15" hidden="false" customHeight="true" outlineLevel="0" collapsed="false">
      <c r="A284" s="1" t="s">
        <v>84</v>
      </c>
      <c r="B284" s="7" t="n">
        <v>46188</v>
      </c>
      <c r="C284" s="1" t="s">
        <v>184</v>
      </c>
      <c r="D284" s="1" t="s">
        <v>185</v>
      </c>
      <c r="E284" s="1" t="s">
        <v>178</v>
      </c>
      <c r="F284" s="1" t="n">
        <v>8536.09</v>
      </c>
      <c r="G284" s="1" t="n">
        <v>8536.09</v>
      </c>
      <c r="H284" s="1" t="str">
        <f aca="false">IF(ABS(F284-G284)&lt;=0.01,"PASS","CHECK")</f>
        <v>PASS</v>
      </c>
    </row>
    <row r="285" customFormat="false" ht="15" hidden="false" customHeight="true" outlineLevel="0" collapsed="false">
      <c r="A285" s="1" t="s">
        <v>84</v>
      </c>
      <c r="B285" s="7" t="n">
        <v>46188</v>
      </c>
      <c r="C285" s="1" t="s">
        <v>183</v>
      </c>
      <c r="D285" s="1" t="s">
        <v>178</v>
      </c>
      <c r="E285" s="1" t="s">
        <v>180</v>
      </c>
      <c r="F285" s="1" t="n">
        <v>55000</v>
      </c>
      <c r="G285" s="1" t="n">
        <v>55000</v>
      </c>
      <c r="H285" s="1" t="str">
        <f aca="false">IF(ABS(F285-G285)&lt;=0.01,"PASS","CHECK")</f>
        <v>PASS</v>
      </c>
    </row>
    <row r="286" customFormat="false" ht="15" hidden="false" customHeight="true" outlineLevel="0" collapsed="false">
      <c r="A286" s="1" t="s">
        <v>84</v>
      </c>
      <c r="B286" s="7" t="n">
        <v>46218</v>
      </c>
      <c r="C286" s="1" t="s">
        <v>184</v>
      </c>
      <c r="D286" s="1" t="s">
        <v>185</v>
      </c>
      <c r="E286" s="1" t="s">
        <v>178</v>
      </c>
      <c r="F286" s="1" t="n">
        <v>7859.29</v>
      </c>
      <c r="G286" s="1" t="n">
        <v>7859.29</v>
      </c>
      <c r="H286" s="1" t="str">
        <f aca="false">IF(ABS(F286-G286)&lt;=0.01,"PASS","CHECK")</f>
        <v>PASS</v>
      </c>
    </row>
    <row r="287" customFormat="false" ht="15" hidden="false" customHeight="true" outlineLevel="0" collapsed="false">
      <c r="A287" s="1" t="s">
        <v>84</v>
      </c>
      <c r="B287" s="7" t="n">
        <v>46218</v>
      </c>
      <c r="C287" s="1" t="s">
        <v>183</v>
      </c>
      <c r="D287" s="1" t="s">
        <v>178</v>
      </c>
      <c r="E287" s="1" t="s">
        <v>180</v>
      </c>
      <c r="F287" s="1" t="n">
        <v>55000</v>
      </c>
      <c r="G287" s="1" t="n">
        <v>55000</v>
      </c>
      <c r="H287" s="1" t="str">
        <f aca="false">IF(ABS(F287-G287)&lt;=0.01,"PASS","CHECK")</f>
        <v>PASS</v>
      </c>
    </row>
    <row r="288" customFormat="false" ht="15" hidden="false" customHeight="true" outlineLevel="0" collapsed="false">
      <c r="A288" s="1" t="s">
        <v>84</v>
      </c>
      <c r="B288" s="7" t="n">
        <v>46249</v>
      </c>
      <c r="C288" s="1" t="s">
        <v>184</v>
      </c>
      <c r="D288" s="1" t="s">
        <v>185</v>
      </c>
      <c r="E288" s="1" t="s">
        <v>178</v>
      </c>
      <c r="F288" s="1" t="n">
        <v>7702.74</v>
      </c>
      <c r="G288" s="1" t="n">
        <v>7702.74</v>
      </c>
      <c r="H288" s="1" t="str">
        <f aca="false">IF(ABS(F288-G288)&lt;=0.01,"PASS","CHECK")</f>
        <v>PASS</v>
      </c>
    </row>
    <row r="289" customFormat="false" ht="15" hidden="false" customHeight="true" outlineLevel="0" collapsed="false">
      <c r="A289" s="1" t="s">
        <v>84</v>
      </c>
      <c r="B289" s="7" t="n">
        <v>46249</v>
      </c>
      <c r="C289" s="1" t="s">
        <v>183</v>
      </c>
      <c r="D289" s="1" t="s">
        <v>178</v>
      </c>
      <c r="E289" s="1" t="s">
        <v>180</v>
      </c>
      <c r="F289" s="1" t="n">
        <v>55000</v>
      </c>
      <c r="G289" s="1" t="n">
        <v>55000</v>
      </c>
      <c r="H289" s="1" t="str">
        <f aca="false">IF(ABS(F289-G289)&lt;=0.01,"PASS","CHECK")</f>
        <v>PASS</v>
      </c>
    </row>
    <row r="290" customFormat="false" ht="15" hidden="false" customHeight="true" outlineLevel="0" collapsed="false">
      <c r="A290" s="1" t="s">
        <v>84</v>
      </c>
      <c r="B290" s="7" t="n">
        <v>46271</v>
      </c>
      <c r="C290" s="1" t="s">
        <v>200</v>
      </c>
      <c r="D290" s="1" t="s">
        <v>185</v>
      </c>
      <c r="E290" s="1" t="s">
        <v>178</v>
      </c>
      <c r="F290" s="1" t="n">
        <v>5160.98</v>
      </c>
      <c r="G290" s="1" t="n">
        <v>5160.98</v>
      </c>
      <c r="H290" s="1" t="str">
        <f aca="false">IF(ABS(F290-G290)&lt;=0.01,"PASS","CHECK")</f>
        <v>PASS</v>
      </c>
    </row>
    <row r="291" customFormat="false" ht="15" hidden="false" customHeight="true" outlineLevel="0" collapsed="false">
      <c r="A291" s="1" t="s">
        <v>84</v>
      </c>
      <c r="B291" s="7" t="n">
        <v>45672</v>
      </c>
      <c r="C291" s="1" t="s">
        <v>149</v>
      </c>
      <c r="D291" s="1" t="s">
        <v>186</v>
      </c>
      <c r="E291" s="1" t="s">
        <v>187</v>
      </c>
      <c r="F291" s="1" t="n">
        <v>45911.26</v>
      </c>
      <c r="G291" s="1" t="n">
        <v>45911.26</v>
      </c>
      <c r="H291" s="1" t="str">
        <f aca="false">IF(ABS(F291-G291)&lt;=0.01,"PASS","CHECK")</f>
        <v>PASS</v>
      </c>
    </row>
    <row r="292" customFormat="false" ht="15" hidden="false" customHeight="true" outlineLevel="0" collapsed="false">
      <c r="A292" s="1" t="s">
        <v>84</v>
      </c>
      <c r="B292" s="7" t="n">
        <v>45703</v>
      </c>
      <c r="C292" s="1" t="s">
        <v>149</v>
      </c>
      <c r="D292" s="1" t="s">
        <v>186</v>
      </c>
      <c r="E292" s="1" t="s">
        <v>187</v>
      </c>
      <c r="F292" s="1" t="n">
        <v>45911.26</v>
      </c>
      <c r="G292" s="1" t="n">
        <v>45911.26</v>
      </c>
      <c r="H292" s="1" t="str">
        <f aca="false">IF(ABS(F292-G292)&lt;=0.01,"PASS","CHECK")</f>
        <v>PASS</v>
      </c>
    </row>
    <row r="293" customFormat="false" ht="15" hidden="false" customHeight="true" outlineLevel="0" collapsed="false">
      <c r="A293" s="1" t="s">
        <v>84</v>
      </c>
      <c r="B293" s="7" t="n">
        <v>45731</v>
      </c>
      <c r="C293" s="1" t="s">
        <v>149</v>
      </c>
      <c r="D293" s="1" t="s">
        <v>186</v>
      </c>
      <c r="E293" s="1" t="s">
        <v>187</v>
      </c>
      <c r="F293" s="1" t="n">
        <v>45911.26</v>
      </c>
      <c r="G293" s="1" t="n">
        <v>45911.26</v>
      </c>
      <c r="H293" s="1" t="str">
        <f aca="false">IF(ABS(F293-G293)&lt;=0.01,"PASS","CHECK")</f>
        <v>PASS</v>
      </c>
    </row>
    <row r="294" customFormat="false" ht="15" hidden="false" customHeight="true" outlineLevel="0" collapsed="false">
      <c r="A294" s="1" t="s">
        <v>84</v>
      </c>
      <c r="B294" s="7" t="n">
        <v>45762</v>
      </c>
      <c r="C294" s="1" t="s">
        <v>149</v>
      </c>
      <c r="D294" s="1" t="s">
        <v>186</v>
      </c>
      <c r="E294" s="1" t="s">
        <v>187</v>
      </c>
      <c r="F294" s="1" t="n">
        <v>45911.26</v>
      </c>
      <c r="G294" s="1" t="n">
        <v>45911.26</v>
      </c>
      <c r="H294" s="1" t="str">
        <f aca="false">IF(ABS(F294-G294)&lt;=0.01,"PASS","CHECK")</f>
        <v>PASS</v>
      </c>
    </row>
    <row r="295" customFormat="false" ht="15" hidden="false" customHeight="true" outlineLevel="0" collapsed="false">
      <c r="A295" s="1" t="s">
        <v>84</v>
      </c>
      <c r="B295" s="7" t="n">
        <v>45792</v>
      </c>
      <c r="C295" s="1" t="s">
        <v>149</v>
      </c>
      <c r="D295" s="1" t="s">
        <v>186</v>
      </c>
      <c r="E295" s="1" t="s">
        <v>187</v>
      </c>
      <c r="F295" s="1" t="n">
        <v>45911.26</v>
      </c>
      <c r="G295" s="1" t="n">
        <v>45911.26</v>
      </c>
      <c r="H295" s="1" t="str">
        <f aca="false">IF(ABS(F295-G295)&lt;=0.01,"PASS","CHECK")</f>
        <v>PASS</v>
      </c>
    </row>
    <row r="296" customFormat="false" ht="15" hidden="false" customHeight="true" outlineLevel="0" collapsed="false">
      <c r="A296" s="1" t="s">
        <v>84</v>
      </c>
      <c r="B296" s="7" t="n">
        <v>45823</v>
      </c>
      <c r="C296" s="1" t="s">
        <v>149</v>
      </c>
      <c r="D296" s="1" t="s">
        <v>186</v>
      </c>
      <c r="E296" s="1" t="s">
        <v>187</v>
      </c>
      <c r="F296" s="1" t="n">
        <v>45911.26</v>
      </c>
      <c r="G296" s="1" t="n">
        <v>45911.26</v>
      </c>
      <c r="H296" s="1" t="str">
        <f aca="false">IF(ABS(F296-G296)&lt;=0.01,"PASS","CHECK")</f>
        <v>PASS</v>
      </c>
    </row>
    <row r="297" customFormat="false" ht="15" hidden="false" customHeight="true" outlineLevel="0" collapsed="false">
      <c r="A297" s="1" t="s">
        <v>84</v>
      </c>
      <c r="B297" s="7" t="n">
        <v>45853</v>
      </c>
      <c r="C297" s="1" t="s">
        <v>149</v>
      </c>
      <c r="D297" s="1" t="s">
        <v>186</v>
      </c>
      <c r="E297" s="1" t="s">
        <v>187</v>
      </c>
      <c r="F297" s="1" t="n">
        <v>45911.26</v>
      </c>
      <c r="G297" s="1" t="n">
        <v>45911.26</v>
      </c>
      <c r="H297" s="1" t="str">
        <f aca="false">IF(ABS(F297-G297)&lt;=0.01,"PASS","CHECK")</f>
        <v>PASS</v>
      </c>
    </row>
    <row r="298" customFormat="false" ht="15" hidden="false" customHeight="true" outlineLevel="0" collapsed="false">
      <c r="A298" s="1" t="s">
        <v>84</v>
      </c>
      <c r="B298" s="7" t="n">
        <v>45884</v>
      </c>
      <c r="C298" s="1" t="s">
        <v>149</v>
      </c>
      <c r="D298" s="1" t="s">
        <v>186</v>
      </c>
      <c r="E298" s="1" t="s">
        <v>187</v>
      </c>
      <c r="F298" s="1" t="n">
        <v>45911.26</v>
      </c>
      <c r="G298" s="1" t="n">
        <v>45911.26</v>
      </c>
      <c r="H298" s="1" t="str">
        <f aca="false">IF(ABS(F298-G298)&lt;=0.01,"PASS","CHECK")</f>
        <v>PASS</v>
      </c>
    </row>
    <row r="299" customFormat="false" ht="15" hidden="false" customHeight="true" outlineLevel="0" collapsed="false">
      <c r="A299" s="1" t="s">
        <v>84</v>
      </c>
      <c r="B299" s="7" t="n">
        <v>45915</v>
      </c>
      <c r="C299" s="1" t="s">
        <v>149</v>
      </c>
      <c r="D299" s="1" t="s">
        <v>186</v>
      </c>
      <c r="E299" s="1" t="s">
        <v>187</v>
      </c>
      <c r="F299" s="1" t="n">
        <v>45911.26</v>
      </c>
      <c r="G299" s="1" t="n">
        <v>45911.26</v>
      </c>
      <c r="H299" s="1" t="str">
        <f aca="false">IF(ABS(F299-G299)&lt;=0.01,"PASS","CHECK")</f>
        <v>PASS</v>
      </c>
    </row>
    <row r="300" customFormat="false" ht="15" hidden="false" customHeight="true" outlineLevel="0" collapsed="false">
      <c r="A300" s="1" t="s">
        <v>84</v>
      </c>
      <c r="B300" s="7" t="n">
        <v>45945</v>
      </c>
      <c r="C300" s="1" t="s">
        <v>149</v>
      </c>
      <c r="D300" s="1" t="s">
        <v>186</v>
      </c>
      <c r="E300" s="1" t="s">
        <v>187</v>
      </c>
      <c r="F300" s="1" t="n">
        <v>45911.26</v>
      </c>
      <c r="G300" s="1" t="n">
        <v>45911.26</v>
      </c>
      <c r="H300" s="1" t="str">
        <f aca="false">IF(ABS(F300-G300)&lt;=0.01,"PASS","CHECK")</f>
        <v>PASS</v>
      </c>
    </row>
    <row r="301" customFormat="false" ht="15" hidden="false" customHeight="true" outlineLevel="0" collapsed="false">
      <c r="A301" s="1" t="s">
        <v>84</v>
      </c>
      <c r="B301" s="7" t="n">
        <v>45976</v>
      </c>
      <c r="C301" s="1" t="s">
        <v>149</v>
      </c>
      <c r="D301" s="1" t="s">
        <v>186</v>
      </c>
      <c r="E301" s="1" t="s">
        <v>187</v>
      </c>
      <c r="F301" s="1" t="n">
        <v>45911.26</v>
      </c>
      <c r="G301" s="1" t="n">
        <v>45911.26</v>
      </c>
      <c r="H301" s="1" t="str">
        <f aca="false">IF(ABS(F301-G301)&lt;=0.01,"PASS","CHECK")</f>
        <v>PASS</v>
      </c>
    </row>
    <row r="302" customFormat="false" ht="15" hidden="false" customHeight="true" outlineLevel="0" collapsed="false">
      <c r="A302" s="1" t="s">
        <v>84</v>
      </c>
      <c r="B302" s="7" t="n">
        <v>46006</v>
      </c>
      <c r="C302" s="1" t="s">
        <v>149</v>
      </c>
      <c r="D302" s="1" t="s">
        <v>186</v>
      </c>
      <c r="E302" s="1" t="s">
        <v>187</v>
      </c>
      <c r="F302" s="1" t="n">
        <v>45911.26</v>
      </c>
      <c r="G302" s="1" t="n">
        <v>45911.26</v>
      </c>
      <c r="H302" s="1" t="str">
        <f aca="false">IF(ABS(F302-G302)&lt;=0.01,"PASS","CHECK")</f>
        <v>PASS</v>
      </c>
    </row>
    <row r="303" customFormat="false" ht="15" hidden="false" customHeight="true" outlineLevel="0" collapsed="false">
      <c r="A303" s="1" t="s">
        <v>84</v>
      </c>
      <c r="B303" s="7" t="n">
        <v>46037</v>
      </c>
      <c r="C303" s="1" t="s">
        <v>149</v>
      </c>
      <c r="D303" s="1" t="s">
        <v>186</v>
      </c>
      <c r="E303" s="1" t="s">
        <v>187</v>
      </c>
      <c r="F303" s="1" t="n">
        <v>45911.26</v>
      </c>
      <c r="G303" s="1" t="n">
        <v>45911.26</v>
      </c>
      <c r="H303" s="1" t="str">
        <f aca="false">IF(ABS(F303-G303)&lt;=0.01,"PASS","CHECK")</f>
        <v>PASS</v>
      </c>
    </row>
    <row r="304" customFormat="false" ht="15" hidden="false" customHeight="true" outlineLevel="0" collapsed="false">
      <c r="A304" s="1" t="s">
        <v>84</v>
      </c>
      <c r="B304" s="7" t="n">
        <v>46068</v>
      </c>
      <c r="C304" s="1" t="s">
        <v>149</v>
      </c>
      <c r="D304" s="1" t="s">
        <v>186</v>
      </c>
      <c r="E304" s="1" t="s">
        <v>187</v>
      </c>
      <c r="F304" s="1" t="n">
        <v>45911.26</v>
      </c>
      <c r="G304" s="1" t="n">
        <v>45911.26</v>
      </c>
      <c r="H304" s="1" t="str">
        <f aca="false">IF(ABS(F304-G304)&lt;=0.01,"PASS","CHECK")</f>
        <v>PASS</v>
      </c>
    </row>
    <row r="305" customFormat="false" ht="15" hidden="false" customHeight="true" outlineLevel="0" collapsed="false">
      <c r="A305" s="1" t="s">
        <v>84</v>
      </c>
      <c r="B305" s="7" t="n">
        <v>46096</v>
      </c>
      <c r="C305" s="1" t="s">
        <v>149</v>
      </c>
      <c r="D305" s="1" t="s">
        <v>186</v>
      </c>
      <c r="E305" s="1" t="s">
        <v>187</v>
      </c>
      <c r="F305" s="1" t="n">
        <v>45911.26</v>
      </c>
      <c r="G305" s="1" t="n">
        <v>45911.26</v>
      </c>
      <c r="H305" s="1" t="str">
        <f aca="false">IF(ABS(F305-G305)&lt;=0.01,"PASS","CHECK")</f>
        <v>PASS</v>
      </c>
    </row>
    <row r="306" customFormat="false" ht="15" hidden="false" customHeight="true" outlineLevel="0" collapsed="false">
      <c r="A306" s="1" t="s">
        <v>84</v>
      </c>
      <c r="B306" s="7" t="n">
        <v>46127</v>
      </c>
      <c r="C306" s="1" t="s">
        <v>149</v>
      </c>
      <c r="D306" s="1" t="s">
        <v>186</v>
      </c>
      <c r="E306" s="1" t="s">
        <v>187</v>
      </c>
      <c r="F306" s="1" t="n">
        <v>45911.26</v>
      </c>
      <c r="G306" s="1" t="n">
        <v>45911.26</v>
      </c>
      <c r="H306" s="1" t="str">
        <f aca="false">IF(ABS(F306-G306)&lt;=0.01,"PASS","CHECK")</f>
        <v>PASS</v>
      </c>
    </row>
    <row r="307" customFormat="false" ht="15" hidden="false" customHeight="true" outlineLevel="0" collapsed="false">
      <c r="A307" s="1" t="s">
        <v>84</v>
      </c>
      <c r="B307" s="7" t="n">
        <v>46157</v>
      </c>
      <c r="C307" s="1" t="s">
        <v>149</v>
      </c>
      <c r="D307" s="1" t="s">
        <v>186</v>
      </c>
      <c r="E307" s="1" t="s">
        <v>187</v>
      </c>
      <c r="F307" s="1" t="n">
        <v>45911.26</v>
      </c>
      <c r="G307" s="1" t="n">
        <v>45911.26</v>
      </c>
      <c r="H307" s="1" t="str">
        <f aca="false">IF(ABS(F307-G307)&lt;=0.01,"PASS","CHECK")</f>
        <v>PASS</v>
      </c>
    </row>
    <row r="308" customFormat="false" ht="15" hidden="false" customHeight="true" outlineLevel="0" collapsed="false">
      <c r="A308" s="1" t="s">
        <v>84</v>
      </c>
      <c r="B308" s="7" t="n">
        <v>46188</v>
      </c>
      <c r="C308" s="1" t="s">
        <v>149</v>
      </c>
      <c r="D308" s="1" t="s">
        <v>186</v>
      </c>
      <c r="E308" s="1" t="s">
        <v>187</v>
      </c>
      <c r="F308" s="1" t="n">
        <v>45911.26</v>
      </c>
      <c r="G308" s="1" t="n">
        <v>45911.26</v>
      </c>
      <c r="H308" s="1" t="str">
        <f aca="false">IF(ABS(F308-G308)&lt;=0.01,"PASS","CHECK")</f>
        <v>PASS</v>
      </c>
    </row>
    <row r="309" customFormat="false" ht="15" hidden="false" customHeight="true" outlineLevel="0" collapsed="false">
      <c r="A309" s="1" t="s">
        <v>84</v>
      </c>
      <c r="B309" s="7" t="n">
        <v>46218</v>
      </c>
      <c r="C309" s="1" t="s">
        <v>149</v>
      </c>
      <c r="D309" s="1" t="s">
        <v>186</v>
      </c>
      <c r="E309" s="1" t="s">
        <v>187</v>
      </c>
      <c r="F309" s="1" t="n">
        <v>45911.26</v>
      </c>
      <c r="G309" s="1" t="n">
        <v>45911.26</v>
      </c>
      <c r="H309" s="1" t="str">
        <f aca="false">IF(ABS(F309-G309)&lt;=0.01,"PASS","CHECK")</f>
        <v>PASS</v>
      </c>
    </row>
    <row r="310" customFormat="false" ht="15" hidden="false" customHeight="true" outlineLevel="0" collapsed="false">
      <c r="A310" s="1" t="s">
        <v>84</v>
      </c>
      <c r="B310" s="7" t="n">
        <v>46249</v>
      </c>
      <c r="C310" s="1" t="s">
        <v>149</v>
      </c>
      <c r="D310" s="1" t="s">
        <v>186</v>
      </c>
      <c r="E310" s="1" t="s">
        <v>187</v>
      </c>
      <c r="F310" s="1" t="n">
        <v>45911.26</v>
      </c>
      <c r="G310" s="1" t="n">
        <v>45911.26</v>
      </c>
      <c r="H310" s="1" t="str">
        <f aca="false">IF(ABS(F310-G310)&lt;=0.01,"PASS","CHECK")</f>
        <v>PASS</v>
      </c>
    </row>
    <row r="311" customFormat="false" ht="15" hidden="false" customHeight="true" outlineLevel="0" collapsed="false">
      <c r="A311" s="1" t="s">
        <v>88</v>
      </c>
      <c r="B311" s="7" t="s">
        <v>203</v>
      </c>
      <c r="C311" s="1" t="s">
        <v>176</v>
      </c>
      <c r="D311" s="1" t="s">
        <v>177</v>
      </c>
      <c r="E311" s="1" t="s">
        <v>178</v>
      </c>
      <c r="F311" s="1" t="n">
        <v>4902114.66</v>
      </c>
      <c r="G311" s="1" t="n">
        <v>4902114.66</v>
      </c>
      <c r="H311" s="1" t="str">
        <f aca="false">IF(ABS(F311-G311)&lt;=0.01,"PASS","CHECK")</f>
        <v>PASS</v>
      </c>
    </row>
    <row r="312" customFormat="false" ht="15" hidden="false" customHeight="true" outlineLevel="0" collapsed="false">
      <c r="A312" s="1" t="s">
        <v>88</v>
      </c>
      <c r="B312" s="7" t="s">
        <v>203</v>
      </c>
      <c r="C312" s="1" t="s">
        <v>198</v>
      </c>
      <c r="D312" s="1" t="s">
        <v>177</v>
      </c>
      <c r="E312" s="1" t="s">
        <v>180</v>
      </c>
      <c r="F312" s="1" t="n">
        <v>300000</v>
      </c>
      <c r="G312" s="1" t="n">
        <v>300000</v>
      </c>
      <c r="H312" s="1" t="str">
        <f aca="false">IF(ABS(F312-G312)&lt;=0.01,"PASS","CHECK")</f>
        <v>PASS</v>
      </c>
    </row>
    <row r="313" customFormat="false" ht="15" hidden="false" customHeight="true" outlineLevel="0" collapsed="false">
      <c r="A313" s="1" t="s">
        <v>88</v>
      </c>
      <c r="B313" s="7" t="s">
        <v>203</v>
      </c>
      <c r="C313" s="1" t="s">
        <v>179</v>
      </c>
      <c r="D313" s="1" t="s">
        <v>177</v>
      </c>
      <c r="E313" s="1" t="s">
        <v>180</v>
      </c>
      <c r="F313" s="1" t="n">
        <v>10000</v>
      </c>
      <c r="G313" s="1" t="n">
        <v>10000</v>
      </c>
      <c r="H313" s="1" t="str">
        <f aca="false">IF(ABS(F313-G313)&lt;=0.01,"PASS","CHECK")</f>
        <v>PASS</v>
      </c>
    </row>
    <row r="314" customFormat="false" ht="15" hidden="false" customHeight="true" outlineLevel="0" collapsed="false">
      <c r="A314" s="1" t="s">
        <v>88</v>
      </c>
      <c r="B314" s="7" t="s">
        <v>203</v>
      </c>
      <c r="C314" s="1" t="s">
        <v>181</v>
      </c>
      <c r="D314" s="1" t="s">
        <v>177</v>
      </c>
      <c r="E314" s="1" t="s">
        <v>182</v>
      </c>
      <c r="F314" s="1" t="n">
        <v>166224.2</v>
      </c>
      <c r="G314" s="1" t="n">
        <v>166224.2</v>
      </c>
      <c r="H314" s="1" t="str">
        <f aca="false">IF(ABS(F314-G314)&lt;=0.01,"PASS","CHECK")</f>
        <v>PASS</v>
      </c>
    </row>
    <row r="315" customFormat="false" ht="15" hidden="false" customHeight="true" outlineLevel="0" collapsed="false">
      <c r="A315" s="1" t="s">
        <v>88</v>
      </c>
      <c r="B315" s="7" t="n">
        <v>45200</v>
      </c>
      <c r="C315" s="1" t="s">
        <v>184</v>
      </c>
      <c r="D315" s="1" t="s">
        <v>185</v>
      </c>
      <c r="E315" s="1" t="s">
        <v>178</v>
      </c>
      <c r="F315" s="1" t="n">
        <v>113428.63</v>
      </c>
      <c r="G315" s="1" t="n">
        <v>113428.63</v>
      </c>
      <c r="H315" s="1" t="str">
        <f aca="false">IF(ABS(F315-G315)&lt;=0.01,"PASS","CHECK")</f>
        <v>PASS</v>
      </c>
    </row>
    <row r="316" customFormat="false" ht="15" hidden="false" customHeight="true" outlineLevel="0" collapsed="false">
      <c r="A316" s="1" t="s">
        <v>88</v>
      </c>
      <c r="B316" s="7" t="n">
        <v>45200</v>
      </c>
      <c r="C316" s="1" t="s">
        <v>183</v>
      </c>
      <c r="D316" s="1" t="s">
        <v>178</v>
      </c>
      <c r="E316" s="1" t="s">
        <v>180</v>
      </c>
      <c r="F316" s="1" t="n">
        <v>300000</v>
      </c>
      <c r="G316" s="1" t="n">
        <v>300000</v>
      </c>
      <c r="H316" s="1" t="str">
        <f aca="false">IF(ABS(F316-G316)&lt;=0.01,"PASS","CHECK")</f>
        <v>PASS</v>
      </c>
    </row>
    <row r="317" customFormat="false" ht="15" hidden="false" customHeight="true" outlineLevel="0" collapsed="false">
      <c r="A317" s="1" t="s">
        <v>88</v>
      </c>
      <c r="B317" s="7" t="n">
        <v>45292</v>
      </c>
      <c r="C317" s="1" t="s">
        <v>184</v>
      </c>
      <c r="D317" s="1" t="s">
        <v>185</v>
      </c>
      <c r="E317" s="1" t="s">
        <v>178</v>
      </c>
      <c r="F317" s="1" t="n">
        <v>109111.6</v>
      </c>
      <c r="G317" s="1" t="n">
        <v>109111.6</v>
      </c>
      <c r="H317" s="1" t="str">
        <f aca="false">IF(ABS(F317-G317)&lt;=0.01,"PASS","CHECK")</f>
        <v>PASS</v>
      </c>
    </row>
    <row r="318" customFormat="false" ht="15" hidden="false" customHeight="true" outlineLevel="0" collapsed="false">
      <c r="A318" s="1" t="s">
        <v>88</v>
      </c>
      <c r="B318" s="7" t="n">
        <v>45292</v>
      </c>
      <c r="C318" s="1" t="s">
        <v>183</v>
      </c>
      <c r="D318" s="1" t="s">
        <v>178</v>
      </c>
      <c r="E318" s="1" t="s">
        <v>180</v>
      </c>
      <c r="F318" s="1" t="n">
        <v>300000</v>
      </c>
      <c r="G318" s="1" t="n">
        <v>300000</v>
      </c>
      <c r="H318" s="1" t="str">
        <f aca="false">IF(ABS(F318-G318)&lt;=0.01,"PASS","CHECK")</f>
        <v>PASS</v>
      </c>
    </row>
    <row r="319" customFormat="false" ht="15" hidden="false" customHeight="true" outlineLevel="0" collapsed="false">
      <c r="A319" s="1" t="s">
        <v>88</v>
      </c>
      <c r="B319" s="7" t="n">
        <v>45383</v>
      </c>
      <c r="C319" s="1" t="s">
        <v>184</v>
      </c>
      <c r="D319" s="1" t="s">
        <v>185</v>
      </c>
      <c r="E319" s="1" t="s">
        <v>178</v>
      </c>
      <c r="F319" s="1" t="n">
        <v>103543.78</v>
      </c>
      <c r="G319" s="1" t="n">
        <v>103543.78</v>
      </c>
      <c r="H319" s="1" t="str">
        <f aca="false">IF(ABS(F319-G319)&lt;=0.01,"PASS","CHECK")</f>
        <v>PASS</v>
      </c>
    </row>
    <row r="320" customFormat="false" ht="15" hidden="false" customHeight="true" outlineLevel="0" collapsed="false">
      <c r="A320" s="1" t="s">
        <v>88</v>
      </c>
      <c r="B320" s="7" t="n">
        <v>45383</v>
      </c>
      <c r="C320" s="1" t="s">
        <v>183</v>
      </c>
      <c r="D320" s="1" t="s">
        <v>178</v>
      </c>
      <c r="E320" s="1" t="s">
        <v>180</v>
      </c>
      <c r="F320" s="1" t="n">
        <v>300000</v>
      </c>
      <c r="G320" s="1" t="n">
        <v>300000</v>
      </c>
      <c r="H320" s="1" t="str">
        <f aca="false">IF(ABS(F320-G320)&lt;=0.01,"PASS","CHECK")</f>
        <v>PASS</v>
      </c>
    </row>
    <row r="321" customFormat="false" ht="15" hidden="false" customHeight="true" outlineLevel="0" collapsed="false">
      <c r="A321" s="1" t="s">
        <v>88</v>
      </c>
      <c r="B321" s="7" t="n">
        <v>45474</v>
      </c>
      <c r="C321" s="1" t="s">
        <v>184</v>
      </c>
      <c r="D321" s="1" t="s">
        <v>185</v>
      </c>
      <c r="E321" s="1" t="s">
        <v>178</v>
      </c>
      <c r="F321" s="1" t="n">
        <v>99048.01</v>
      </c>
      <c r="G321" s="1" t="n">
        <v>99048.01</v>
      </c>
      <c r="H321" s="1" t="str">
        <f aca="false">IF(ABS(F321-G321)&lt;=0.01,"PASS","CHECK")</f>
        <v>PASS</v>
      </c>
    </row>
    <row r="322" customFormat="false" ht="15" hidden="false" customHeight="true" outlineLevel="0" collapsed="false">
      <c r="A322" s="1" t="s">
        <v>88</v>
      </c>
      <c r="B322" s="7" t="n">
        <v>45474</v>
      </c>
      <c r="C322" s="1" t="s">
        <v>183</v>
      </c>
      <c r="D322" s="1" t="s">
        <v>178</v>
      </c>
      <c r="E322" s="1" t="s">
        <v>180</v>
      </c>
      <c r="F322" s="1" t="n">
        <v>312000</v>
      </c>
      <c r="G322" s="1" t="n">
        <v>312000</v>
      </c>
      <c r="H322" s="1" t="str">
        <f aca="false">IF(ABS(F322-G322)&lt;=0.01,"PASS","CHECK")</f>
        <v>PASS</v>
      </c>
    </row>
    <row r="323" customFormat="false" ht="15" hidden="false" customHeight="true" outlineLevel="0" collapsed="false">
      <c r="A323" s="1" t="s">
        <v>88</v>
      </c>
      <c r="B323" s="7" t="n">
        <v>45566</v>
      </c>
      <c r="C323" s="1" t="s">
        <v>184</v>
      </c>
      <c r="D323" s="1" t="s">
        <v>185</v>
      </c>
      <c r="E323" s="1" t="s">
        <v>178</v>
      </c>
      <c r="F323" s="1" t="n">
        <v>95221.51</v>
      </c>
      <c r="G323" s="1" t="n">
        <v>95221.51</v>
      </c>
      <c r="H323" s="1" t="str">
        <f aca="false">IF(ABS(F323-G323)&lt;=0.01,"PASS","CHECK")</f>
        <v>PASS</v>
      </c>
    </row>
    <row r="324" customFormat="false" ht="15" hidden="false" customHeight="true" outlineLevel="0" collapsed="false">
      <c r="A324" s="1" t="s">
        <v>88</v>
      </c>
      <c r="B324" s="7" t="n">
        <v>45566</v>
      </c>
      <c r="C324" s="1" t="s">
        <v>183</v>
      </c>
      <c r="D324" s="1" t="s">
        <v>178</v>
      </c>
      <c r="E324" s="1" t="s">
        <v>180</v>
      </c>
      <c r="F324" s="1" t="n">
        <v>312000</v>
      </c>
      <c r="G324" s="1" t="n">
        <v>312000</v>
      </c>
      <c r="H324" s="1" t="str">
        <f aca="false">IF(ABS(F324-G324)&lt;=0.01,"PASS","CHECK")</f>
        <v>PASS</v>
      </c>
    </row>
    <row r="325" customFormat="false" ht="15" hidden="false" customHeight="true" outlineLevel="0" collapsed="false">
      <c r="A325" s="1" t="s">
        <v>88</v>
      </c>
      <c r="B325" s="7" t="n">
        <v>45658</v>
      </c>
      <c r="C325" s="1" t="s">
        <v>184</v>
      </c>
      <c r="D325" s="1" t="s">
        <v>185</v>
      </c>
      <c r="E325" s="1" t="s">
        <v>178</v>
      </c>
      <c r="F325" s="1" t="n">
        <v>90205.54</v>
      </c>
      <c r="G325" s="1" t="n">
        <v>90205.54</v>
      </c>
      <c r="H325" s="1" t="str">
        <f aca="false">IF(ABS(F325-G325)&lt;=0.01,"PASS","CHECK")</f>
        <v>PASS</v>
      </c>
    </row>
    <row r="326" customFormat="false" ht="15" hidden="false" customHeight="true" outlineLevel="0" collapsed="false">
      <c r="A326" s="1" t="s">
        <v>88</v>
      </c>
      <c r="B326" s="7" t="n">
        <v>45658</v>
      </c>
      <c r="C326" s="1" t="s">
        <v>183</v>
      </c>
      <c r="D326" s="1" t="s">
        <v>178</v>
      </c>
      <c r="E326" s="1" t="s">
        <v>180</v>
      </c>
      <c r="F326" s="1" t="n">
        <v>312000</v>
      </c>
      <c r="G326" s="1" t="n">
        <v>312000</v>
      </c>
      <c r="H326" s="1" t="str">
        <f aca="false">IF(ABS(F326-G326)&lt;=0.01,"PASS","CHECK")</f>
        <v>PASS</v>
      </c>
    </row>
    <row r="327" customFormat="false" ht="15" hidden="false" customHeight="true" outlineLevel="0" collapsed="false">
      <c r="A327" s="1" t="s">
        <v>88</v>
      </c>
      <c r="B327" s="7" t="n">
        <v>45748</v>
      </c>
      <c r="C327" s="1" t="s">
        <v>184</v>
      </c>
      <c r="D327" s="1" t="s">
        <v>185</v>
      </c>
      <c r="E327" s="1" t="s">
        <v>178</v>
      </c>
      <c r="F327" s="1" t="n">
        <v>83203.31</v>
      </c>
      <c r="G327" s="1" t="n">
        <v>83203.31</v>
      </c>
      <c r="H327" s="1" t="str">
        <f aca="false">IF(ABS(F327-G327)&lt;=0.01,"PASS","CHECK")</f>
        <v>PASS</v>
      </c>
    </row>
    <row r="328" customFormat="false" ht="15" hidden="false" customHeight="true" outlineLevel="0" collapsed="false">
      <c r="A328" s="1" t="s">
        <v>88</v>
      </c>
      <c r="B328" s="7" t="n">
        <v>45748</v>
      </c>
      <c r="C328" s="1" t="s">
        <v>183</v>
      </c>
      <c r="D328" s="1" t="s">
        <v>178</v>
      </c>
      <c r="E328" s="1" t="s">
        <v>180</v>
      </c>
      <c r="F328" s="1" t="n">
        <v>312000</v>
      </c>
      <c r="G328" s="1" t="n">
        <v>312000</v>
      </c>
      <c r="H328" s="1" t="str">
        <f aca="false">IF(ABS(F328-G328)&lt;=0.01,"PASS","CHECK")</f>
        <v>PASS</v>
      </c>
    </row>
    <row r="329" customFormat="false" ht="15" hidden="false" customHeight="true" outlineLevel="0" collapsed="false">
      <c r="A329" s="1" t="s">
        <v>88</v>
      </c>
      <c r="B329" s="7" t="n">
        <v>45839</v>
      </c>
      <c r="C329" s="1" t="s">
        <v>184</v>
      </c>
      <c r="D329" s="1" t="s">
        <v>185</v>
      </c>
      <c r="E329" s="1" t="s">
        <v>178</v>
      </c>
      <c r="F329" s="1" t="n">
        <v>78902.42</v>
      </c>
      <c r="G329" s="1" t="n">
        <v>78902.42</v>
      </c>
      <c r="H329" s="1" t="str">
        <f aca="false">IF(ABS(F329-G329)&lt;=0.01,"PASS","CHECK")</f>
        <v>PASS</v>
      </c>
    </row>
    <row r="330" customFormat="false" ht="15" hidden="false" customHeight="true" outlineLevel="0" collapsed="false">
      <c r="A330" s="1" t="s">
        <v>88</v>
      </c>
      <c r="B330" s="7" t="n">
        <v>45839</v>
      </c>
      <c r="C330" s="1" t="s">
        <v>183</v>
      </c>
      <c r="D330" s="1" t="s">
        <v>178</v>
      </c>
      <c r="E330" s="1" t="s">
        <v>180</v>
      </c>
      <c r="F330" s="1" t="n">
        <v>324480</v>
      </c>
      <c r="G330" s="1" t="n">
        <v>324480</v>
      </c>
      <c r="H330" s="1" t="str">
        <f aca="false">IF(ABS(F330-G330)&lt;=0.01,"PASS","CHECK")</f>
        <v>PASS</v>
      </c>
    </row>
    <row r="331" customFormat="false" ht="15" hidden="false" customHeight="true" outlineLevel="0" collapsed="false">
      <c r="A331" s="1" t="s">
        <v>88</v>
      </c>
      <c r="B331" s="7" t="n">
        <v>45931</v>
      </c>
      <c r="C331" s="1" t="s">
        <v>184</v>
      </c>
      <c r="D331" s="1" t="s">
        <v>185</v>
      </c>
      <c r="E331" s="1" t="s">
        <v>178</v>
      </c>
      <c r="F331" s="1" t="n">
        <v>74097.09</v>
      </c>
      <c r="G331" s="1" t="n">
        <v>74097.09</v>
      </c>
      <c r="H331" s="1" t="str">
        <f aca="false">IF(ABS(F331-G331)&lt;=0.01,"PASS","CHECK")</f>
        <v>PASS</v>
      </c>
    </row>
    <row r="332" customFormat="false" ht="15" hidden="false" customHeight="true" outlineLevel="0" collapsed="false">
      <c r="A332" s="1" t="s">
        <v>88</v>
      </c>
      <c r="B332" s="7" t="n">
        <v>45931</v>
      </c>
      <c r="C332" s="1" t="s">
        <v>183</v>
      </c>
      <c r="D332" s="1" t="s">
        <v>178</v>
      </c>
      <c r="E332" s="1" t="s">
        <v>180</v>
      </c>
      <c r="F332" s="1" t="n">
        <v>324480</v>
      </c>
      <c r="G332" s="1" t="n">
        <v>324480</v>
      </c>
      <c r="H332" s="1" t="str">
        <f aca="false">IF(ABS(F332-G332)&lt;=0.01,"PASS","CHECK")</f>
        <v>PASS</v>
      </c>
    </row>
    <row r="333" customFormat="false" ht="15" hidden="false" customHeight="true" outlineLevel="0" collapsed="false">
      <c r="A333" s="1" t="s">
        <v>88</v>
      </c>
      <c r="B333" s="7" t="n">
        <v>46023</v>
      </c>
      <c r="C333" s="1" t="s">
        <v>184</v>
      </c>
      <c r="D333" s="1" t="s">
        <v>185</v>
      </c>
      <c r="E333" s="1" t="s">
        <v>178</v>
      </c>
      <c r="F333" s="1" t="n">
        <v>68303.55</v>
      </c>
      <c r="G333" s="1" t="n">
        <v>68303.55</v>
      </c>
      <c r="H333" s="1" t="str">
        <f aca="false">IF(ABS(F333-G333)&lt;=0.01,"PASS","CHECK")</f>
        <v>PASS</v>
      </c>
    </row>
    <row r="334" customFormat="false" ht="15" hidden="false" customHeight="true" outlineLevel="0" collapsed="false">
      <c r="A334" s="1" t="s">
        <v>88</v>
      </c>
      <c r="B334" s="7" t="n">
        <v>46023</v>
      </c>
      <c r="C334" s="1" t="s">
        <v>183</v>
      </c>
      <c r="D334" s="1" t="s">
        <v>178</v>
      </c>
      <c r="E334" s="1" t="s">
        <v>180</v>
      </c>
      <c r="F334" s="1" t="n">
        <v>324480</v>
      </c>
      <c r="G334" s="1" t="n">
        <v>324480</v>
      </c>
      <c r="H334" s="1" t="str">
        <f aca="false">IF(ABS(F334-G334)&lt;=0.01,"PASS","CHECK")</f>
        <v>PASS</v>
      </c>
    </row>
    <row r="335" customFormat="false" ht="15" hidden="false" customHeight="true" outlineLevel="0" collapsed="false">
      <c r="A335" s="1" t="s">
        <v>88</v>
      </c>
      <c r="B335" s="7" t="n">
        <v>46113</v>
      </c>
      <c r="C335" s="1" t="s">
        <v>184</v>
      </c>
      <c r="D335" s="1" t="s">
        <v>185</v>
      </c>
      <c r="E335" s="1" t="s">
        <v>178</v>
      </c>
      <c r="F335" s="1" t="n">
        <v>61004.73</v>
      </c>
      <c r="G335" s="1" t="n">
        <v>61004.73</v>
      </c>
      <c r="H335" s="1" t="str">
        <f aca="false">IF(ABS(F335-G335)&lt;=0.01,"PASS","CHECK")</f>
        <v>PASS</v>
      </c>
    </row>
    <row r="336" customFormat="false" ht="15" hidden="false" customHeight="true" outlineLevel="0" collapsed="false">
      <c r="A336" s="1" t="s">
        <v>88</v>
      </c>
      <c r="B336" s="7" t="n">
        <v>46113</v>
      </c>
      <c r="C336" s="1" t="s">
        <v>183</v>
      </c>
      <c r="D336" s="1" t="s">
        <v>178</v>
      </c>
      <c r="E336" s="1" t="s">
        <v>180</v>
      </c>
      <c r="F336" s="1" t="n">
        <v>324480</v>
      </c>
      <c r="G336" s="1" t="n">
        <v>324480</v>
      </c>
      <c r="H336" s="1" t="str">
        <f aca="false">IF(ABS(F336-G336)&lt;=0.01,"PASS","CHECK")</f>
        <v>PASS</v>
      </c>
    </row>
    <row r="337" customFormat="false" ht="15" hidden="false" customHeight="true" outlineLevel="0" collapsed="false">
      <c r="A337" s="1" t="s">
        <v>88</v>
      </c>
      <c r="B337" s="7" t="n">
        <v>46204</v>
      </c>
      <c r="C337" s="1" t="s">
        <v>184</v>
      </c>
      <c r="D337" s="1" t="s">
        <v>185</v>
      </c>
      <c r="E337" s="1" t="s">
        <v>178</v>
      </c>
      <c r="F337" s="1" t="n">
        <v>55660.8</v>
      </c>
      <c r="G337" s="1" t="n">
        <v>55660.8</v>
      </c>
      <c r="H337" s="1" t="str">
        <f aca="false">IF(ABS(F337-G337)&lt;=0.01,"PASS","CHECK")</f>
        <v>PASS</v>
      </c>
    </row>
    <row r="338" customFormat="false" ht="15" hidden="false" customHeight="true" outlineLevel="0" collapsed="false">
      <c r="A338" s="1" t="s">
        <v>88</v>
      </c>
      <c r="B338" s="7" t="n">
        <v>46204</v>
      </c>
      <c r="C338" s="1" t="s">
        <v>183</v>
      </c>
      <c r="D338" s="1" t="s">
        <v>178</v>
      </c>
      <c r="E338" s="1" t="s">
        <v>180</v>
      </c>
      <c r="F338" s="1" t="n">
        <v>330000</v>
      </c>
      <c r="G338" s="1" t="n">
        <v>330000</v>
      </c>
      <c r="H338" s="1" t="str">
        <f aca="false">IF(ABS(F338-G338)&lt;=0.01,"PASS","CHECK")</f>
        <v>PASS</v>
      </c>
    </row>
    <row r="339" customFormat="false" ht="15" hidden="false" customHeight="true" outlineLevel="0" collapsed="false">
      <c r="A339" s="1" t="s">
        <v>88</v>
      </c>
      <c r="B339" s="7" t="n">
        <v>46271</v>
      </c>
      <c r="C339" s="1" t="s">
        <v>200</v>
      </c>
      <c r="D339" s="1" t="s">
        <v>185</v>
      </c>
      <c r="E339" s="1" t="s">
        <v>178</v>
      </c>
      <c r="F339" s="1" t="n">
        <v>36250.03</v>
      </c>
      <c r="G339" s="1" t="n">
        <v>36250.03</v>
      </c>
      <c r="H339" s="1" t="str">
        <f aca="false">IF(ABS(F339-G339)&lt;=0.01,"PASS","CHECK")</f>
        <v>PASS</v>
      </c>
    </row>
    <row r="340" customFormat="false" ht="15" hidden="false" customHeight="true" outlineLevel="0" collapsed="false">
      <c r="A340" s="1" t="s">
        <v>88</v>
      </c>
      <c r="B340" s="7" t="n">
        <v>45108</v>
      </c>
      <c r="C340" s="1" t="s">
        <v>149</v>
      </c>
      <c r="D340" s="1" t="s">
        <v>186</v>
      </c>
      <c r="E340" s="1" t="s">
        <v>187</v>
      </c>
      <c r="F340" s="1" t="n">
        <v>90060.42</v>
      </c>
      <c r="G340" s="1" t="n">
        <v>90060.42</v>
      </c>
      <c r="H340" s="1" t="str">
        <f aca="false">IF(ABS(F340-G340)&lt;=0.01,"PASS","CHECK")</f>
        <v>PASS</v>
      </c>
    </row>
    <row r="341" customFormat="false" ht="15" hidden="false" customHeight="true" outlineLevel="0" collapsed="false">
      <c r="A341" s="1" t="s">
        <v>88</v>
      </c>
      <c r="B341" s="7" t="n">
        <v>45139</v>
      </c>
      <c r="C341" s="1" t="s">
        <v>149</v>
      </c>
      <c r="D341" s="1" t="s">
        <v>186</v>
      </c>
      <c r="E341" s="1" t="s">
        <v>187</v>
      </c>
      <c r="F341" s="1" t="n">
        <v>90060.42</v>
      </c>
      <c r="G341" s="1" t="n">
        <v>90060.42</v>
      </c>
      <c r="H341" s="1" t="str">
        <f aca="false">IF(ABS(F341-G341)&lt;=0.01,"PASS","CHECK")</f>
        <v>PASS</v>
      </c>
    </row>
    <row r="342" customFormat="false" ht="15" hidden="false" customHeight="true" outlineLevel="0" collapsed="false">
      <c r="A342" s="1" t="s">
        <v>88</v>
      </c>
      <c r="B342" s="7" t="n">
        <v>45170</v>
      </c>
      <c r="C342" s="1" t="s">
        <v>149</v>
      </c>
      <c r="D342" s="1" t="s">
        <v>186</v>
      </c>
      <c r="E342" s="1" t="s">
        <v>187</v>
      </c>
      <c r="F342" s="1" t="n">
        <v>90060.42</v>
      </c>
      <c r="G342" s="1" t="n">
        <v>90060.42</v>
      </c>
      <c r="H342" s="1" t="str">
        <f aca="false">IF(ABS(F342-G342)&lt;=0.01,"PASS","CHECK")</f>
        <v>PASS</v>
      </c>
    </row>
    <row r="343" customFormat="false" ht="15" hidden="false" customHeight="true" outlineLevel="0" collapsed="false">
      <c r="A343" s="1" t="s">
        <v>88</v>
      </c>
      <c r="B343" s="7" t="n">
        <v>45200</v>
      </c>
      <c r="C343" s="1" t="s">
        <v>149</v>
      </c>
      <c r="D343" s="1" t="s">
        <v>186</v>
      </c>
      <c r="E343" s="1" t="s">
        <v>187</v>
      </c>
      <c r="F343" s="1" t="n">
        <v>90060.42</v>
      </c>
      <c r="G343" s="1" t="n">
        <v>90060.42</v>
      </c>
      <c r="H343" s="1" t="str">
        <f aca="false">IF(ABS(F343-G343)&lt;=0.01,"PASS","CHECK")</f>
        <v>PASS</v>
      </c>
    </row>
    <row r="344" customFormat="false" ht="15" hidden="false" customHeight="true" outlineLevel="0" collapsed="false">
      <c r="A344" s="1" t="s">
        <v>88</v>
      </c>
      <c r="B344" s="7" t="n">
        <v>45231</v>
      </c>
      <c r="C344" s="1" t="s">
        <v>149</v>
      </c>
      <c r="D344" s="1" t="s">
        <v>186</v>
      </c>
      <c r="E344" s="1" t="s">
        <v>187</v>
      </c>
      <c r="F344" s="1" t="n">
        <v>90060.42</v>
      </c>
      <c r="G344" s="1" t="n">
        <v>90060.42</v>
      </c>
      <c r="H344" s="1" t="str">
        <f aca="false">IF(ABS(F344-G344)&lt;=0.01,"PASS","CHECK")</f>
        <v>PASS</v>
      </c>
    </row>
    <row r="345" customFormat="false" ht="15" hidden="false" customHeight="true" outlineLevel="0" collapsed="false">
      <c r="A345" s="1" t="s">
        <v>88</v>
      </c>
      <c r="B345" s="7" t="n">
        <v>45261</v>
      </c>
      <c r="C345" s="1" t="s">
        <v>149</v>
      </c>
      <c r="D345" s="1" t="s">
        <v>186</v>
      </c>
      <c r="E345" s="1" t="s">
        <v>187</v>
      </c>
      <c r="F345" s="1" t="n">
        <v>90060.42</v>
      </c>
      <c r="G345" s="1" t="n">
        <v>90060.42</v>
      </c>
      <c r="H345" s="1" t="str">
        <f aca="false">IF(ABS(F345-G345)&lt;=0.01,"PASS","CHECK")</f>
        <v>PASS</v>
      </c>
    </row>
    <row r="346" customFormat="false" ht="15" hidden="false" customHeight="true" outlineLevel="0" collapsed="false">
      <c r="A346" s="1" t="s">
        <v>88</v>
      </c>
      <c r="B346" s="7" t="n">
        <v>45292</v>
      </c>
      <c r="C346" s="1" t="s">
        <v>149</v>
      </c>
      <c r="D346" s="1" t="s">
        <v>186</v>
      </c>
      <c r="E346" s="1" t="s">
        <v>187</v>
      </c>
      <c r="F346" s="1" t="n">
        <v>90060.42</v>
      </c>
      <c r="G346" s="1" t="n">
        <v>90060.42</v>
      </c>
      <c r="H346" s="1" t="str">
        <f aca="false">IF(ABS(F346-G346)&lt;=0.01,"PASS","CHECK")</f>
        <v>PASS</v>
      </c>
    </row>
    <row r="347" customFormat="false" ht="15" hidden="false" customHeight="true" outlineLevel="0" collapsed="false">
      <c r="A347" s="1" t="s">
        <v>88</v>
      </c>
      <c r="B347" s="7" t="n">
        <v>45323</v>
      </c>
      <c r="C347" s="1" t="s">
        <v>149</v>
      </c>
      <c r="D347" s="1" t="s">
        <v>186</v>
      </c>
      <c r="E347" s="1" t="s">
        <v>187</v>
      </c>
      <c r="F347" s="1" t="n">
        <v>90060.42</v>
      </c>
      <c r="G347" s="1" t="n">
        <v>90060.42</v>
      </c>
      <c r="H347" s="1" t="str">
        <f aca="false">IF(ABS(F347-G347)&lt;=0.01,"PASS","CHECK")</f>
        <v>PASS</v>
      </c>
    </row>
    <row r="348" customFormat="false" ht="15" hidden="false" customHeight="true" outlineLevel="0" collapsed="false">
      <c r="A348" s="1" t="s">
        <v>88</v>
      </c>
      <c r="B348" s="7" t="n">
        <v>45352</v>
      </c>
      <c r="C348" s="1" t="s">
        <v>149</v>
      </c>
      <c r="D348" s="1" t="s">
        <v>186</v>
      </c>
      <c r="E348" s="1" t="s">
        <v>187</v>
      </c>
      <c r="F348" s="1" t="n">
        <v>90060.42</v>
      </c>
      <c r="G348" s="1" t="n">
        <v>90060.42</v>
      </c>
      <c r="H348" s="1" t="str">
        <f aca="false">IF(ABS(F348-G348)&lt;=0.01,"PASS","CHECK")</f>
        <v>PASS</v>
      </c>
    </row>
    <row r="349" customFormat="false" ht="15" hidden="false" customHeight="true" outlineLevel="0" collapsed="false">
      <c r="A349" s="1" t="s">
        <v>88</v>
      </c>
      <c r="B349" s="7" t="n">
        <v>45383</v>
      </c>
      <c r="C349" s="1" t="s">
        <v>149</v>
      </c>
      <c r="D349" s="1" t="s">
        <v>186</v>
      </c>
      <c r="E349" s="1" t="s">
        <v>187</v>
      </c>
      <c r="F349" s="1" t="n">
        <v>90060.42</v>
      </c>
      <c r="G349" s="1" t="n">
        <v>90060.42</v>
      </c>
      <c r="H349" s="1" t="str">
        <f aca="false">IF(ABS(F349-G349)&lt;=0.01,"PASS","CHECK")</f>
        <v>PASS</v>
      </c>
    </row>
    <row r="350" customFormat="false" ht="15" hidden="false" customHeight="true" outlineLevel="0" collapsed="false">
      <c r="A350" s="1" t="s">
        <v>88</v>
      </c>
      <c r="B350" s="7" t="n">
        <v>45413</v>
      </c>
      <c r="C350" s="1" t="s">
        <v>149</v>
      </c>
      <c r="D350" s="1" t="s">
        <v>186</v>
      </c>
      <c r="E350" s="1" t="s">
        <v>187</v>
      </c>
      <c r="F350" s="1" t="n">
        <v>90060.42</v>
      </c>
      <c r="G350" s="1" t="n">
        <v>90060.42</v>
      </c>
      <c r="H350" s="1" t="str">
        <f aca="false">IF(ABS(F350-G350)&lt;=0.01,"PASS","CHECK")</f>
        <v>PASS</v>
      </c>
    </row>
    <row r="351" customFormat="false" ht="15" hidden="false" customHeight="true" outlineLevel="0" collapsed="false">
      <c r="A351" s="1" t="s">
        <v>88</v>
      </c>
      <c r="B351" s="7" t="n">
        <v>45444</v>
      </c>
      <c r="C351" s="1" t="s">
        <v>149</v>
      </c>
      <c r="D351" s="1" t="s">
        <v>186</v>
      </c>
      <c r="E351" s="1" t="s">
        <v>187</v>
      </c>
      <c r="F351" s="1" t="n">
        <v>90060.42</v>
      </c>
      <c r="G351" s="1" t="n">
        <v>90060.42</v>
      </c>
      <c r="H351" s="1" t="str">
        <f aca="false">IF(ABS(F351-G351)&lt;=0.01,"PASS","CHECK")</f>
        <v>PASS</v>
      </c>
    </row>
    <row r="352" customFormat="false" ht="15" hidden="false" customHeight="true" outlineLevel="0" collapsed="false">
      <c r="A352" s="1" t="s">
        <v>88</v>
      </c>
      <c r="B352" s="7" t="n">
        <v>45474</v>
      </c>
      <c r="C352" s="1" t="s">
        <v>149</v>
      </c>
      <c r="D352" s="1" t="s">
        <v>186</v>
      </c>
      <c r="E352" s="1" t="s">
        <v>187</v>
      </c>
      <c r="F352" s="1" t="n">
        <v>90060.42</v>
      </c>
      <c r="G352" s="1" t="n">
        <v>90060.42</v>
      </c>
      <c r="H352" s="1" t="str">
        <f aca="false">IF(ABS(F352-G352)&lt;=0.01,"PASS","CHECK")</f>
        <v>PASS</v>
      </c>
    </row>
    <row r="353" customFormat="false" ht="15" hidden="false" customHeight="true" outlineLevel="0" collapsed="false">
      <c r="A353" s="1" t="s">
        <v>88</v>
      </c>
      <c r="B353" s="7" t="n">
        <v>45505</v>
      </c>
      <c r="C353" s="1" t="s">
        <v>149</v>
      </c>
      <c r="D353" s="1" t="s">
        <v>186</v>
      </c>
      <c r="E353" s="1" t="s">
        <v>187</v>
      </c>
      <c r="F353" s="1" t="n">
        <v>90060.42</v>
      </c>
      <c r="G353" s="1" t="n">
        <v>90060.42</v>
      </c>
      <c r="H353" s="1" t="str">
        <f aca="false">IF(ABS(F353-G353)&lt;=0.01,"PASS","CHECK")</f>
        <v>PASS</v>
      </c>
    </row>
    <row r="354" customFormat="false" ht="15" hidden="false" customHeight="true" outlineLevel="0" collapsed="false">
      <c r="A354" s="1" t="s">
        <v>88</v>
      </c>
      <c r="B354" s="7" t="n">
        <v>45536</v>
      </c>
      <c r="C354" s="1" t="s">
        <v>149</v>
      </c>
      <c r="D354" s="1" t="s">
        <v>186</v>
      </c>
      <c r="E354" s="1" t="s">
        <v>187</v>
      </c>
      <c r="F354" s="1" t="n">
        <v>90060.42</v>
      </c>
      <c r="G354" s="1" t="n">
        <v>90060.42</v>
      </c>
      <c r="H354" s="1" t="str">
        <f aca="false">IF(ABS(F354-G354)&lt;=0.01,"PASS","CHECK")</f>
        <v>PASS</v>
      </c>
    </row>
    <row r="355" customFormat="false" ht="15" hidden="false" customHeight="true" outlineLevel="0" collapsed="false">
      <c r="A355" s="1" t="s">
        <v>88</v>
      </c>
      <c r="B355" s="7" t="n">
        <v>45566</v>
      </c>
      <c r="C355" s="1" t="s">
        <v>149</v>
      </c>
      <c r="D355" s="1" t="s">
        <v>186</v>
      </c>
      <c r="E355" s="1" t="s">
        <v>187</v>
      </c>
      <c r="F355" s="1" t="n">
        <v>90060.42</v>
      </c>
      <c r="G355" s="1" t="n">
        <v>90060.42</v>
      </c>
      <c r="H355" s="1" t="str">
        <f aca="false">IF(ABS(F355-G355)&lt;=0.01,"PASS","CHECK")</f>
        <v>PASS</v>
      </c>
    </row>
    <row r="356" customFormat="false" ht="15" hidden="false" customHeight="true" outlineLevel="0" collapsed="false">
      <c r="A356" s="1" t="s">
        <v>88</v>
      </c>
      <c r="B356" s="7" t="n">
        <v>45597</v>
      </c>
      <c r="C356" s="1" t="s">
        <v>149</v>
      </c>
      <c r="D356" s="1" t="s">
        <v>186</v>
      </c>
      <c r="E356" s="1" t="s">
        <v>187</v>
      </c>
      <c r="F356" s="1" t="n">
        <v>90060.42</v>
      </c>
      <c r="G356" s="1" t="n">
        <v>90060.42</v>
      </c>
      <c r="H356" s="1" t="str">
        <f aca="false">IF(ABS(F356-G356)&lt;=0.01,"PASS","CHECK")</f>
        <v>PASS</v>
      </c>
    </row>
    <row r="357" customFormat="false" ht="15" hidden="false" customHeight="true" outlineLevel="0" collapsed="false">
      <c r="A357" s="1" t="s">
        <v>88</v>
      </c>
      <c r="B357" s="7" t="n">
        <v>45627</v>
      </c>
      <c r="C357" s="1" t="s">
        <v>149</v>
      </c>
      <c r="D357" s="1" t="s">
        <v>186</v>
      </c>
      <c r="E357" s="1" t="s">
        <v>187</v>
      </c>
      <c r="F357" s="1" t="n">
        <v>90060.42</v>
      </c>
      <c r="G357" s="1" t="n">
        <v>90060.42</v>
      </c>
      <c r="H357" s="1" t="str">
        <f aca="false">IF(ABS(F357-G357)&lt;=0.01,"PASS","CHECK")</f>
        <v>PASS</v>
      </c>
    </row>
    <row r="358" customFormat="false" ht="15" hidden="false" customHeight="true" outlineLevel="0" collapsed="false">
      <c r="A358" s="1" t="s">
        <v>88</v>
      </c>
      <c r="B358" s="7" t="n">
        <v>45658</v>
      </c>
      <c r="C358" s="1" t="s">
        <v>149</v>
      </c>
      <c r="D358" s="1" t="s">
        <v>186</v>
      </c>
      <c r="E358" s="1" t="s">
        <v>187</v>
      </c>
      <c r="F358" s="1" t="n">
        <v>90060.42</v>
      </c>
      <c r="G358" s="1" t="n">
        <v>90060.42</v>
      </c>
      <c r="H358" s="1" t="str">
        <f aca="false">IF(ABS(F358-G358)&lt;=0.01,"PASS","CHECK")</f>
        <v>PASS</v>
      </c>
    </row>
    <row r="359" customFormat="false" ht="15" hidden="false" customHeight="true" outlineLevel="0" collapsed="false">
      <c r="A359" s="1" t="s">
        <v>88</v>
      </c>
      <c r="B359" s="7" t="n">
        <v>45689</v>
      </c>
      <c r="C359" s="1" t="s">
        <v>149</v>
      </c>
      <c r="D359" s="1" t="s">
        <v>186</v>
      </c>
      <c r="E359" s="1" t="s">
        <v>187</v>
      </c>
      <c r="F359" s="1" t="n">
        <v>90060.42</v>
      </c>
      <c r="G359" s="1" t="n">
        <v>90060.42</v>
      </c>
      <c r="H359" s="1" t="str">
        <f aca="false">IF(ABS(F359-G359)&lt;=0.01,"PASS","CHECK")</f>
        <v>PASS</v>
      </c>
    </row>
    <row r="360" customFormat="false" ht="15" hidden="false" customHeight="true" outlineLevel="0" collapsed="false">
      <c r="A360" s="1" t="s">
        <v>88</v>
      </c>
      <c r="B360" s="7" t="n">
        <v>45717</v>
      </c>
      <c r="C360" s="1" t="s">
        <v>149</v>
      </c>
      <c r="D360" s="1" t="s">
        <v>186</v>
      </c>
      <c r="E360" s="1" t="s">
        <v>187</v>
      </c>
      <c r="F360" s="1" t="n">
        <v>90060.42</v>
      </c>
      <c r="G360" s="1" t="n">
        <v>90060.42</v>
      </c>
      <c r="H360" s="1" t="str">
        <f aca="false">IF(ABS(F360-G360)&lt;=0.01,"PASS","CHECK")</f>
        <v>PASS</v>
      </c>
    </row>
    <row r="361" customFormat="false" ht="15" hidden="false" customHeight="true" outlineLevel="0" collapsed="false">
      <c r="A361" s="1" t="s">
        <v>88</v>
      </c>
      <c r="B361" s="7" t="n">
        <v>45748</v>
      </c>
      <c r="C361" s="1" t="s">
        <v>149</v>
      </c>
      <c r="D361" s="1" t="s">
        <v>186</v>
      </c>
      <c r="E361" s="1" t="s">
        <v>187</v>
      </c>
      <c r="F361" s="1" t="n">
        <v>90060.42</v>
      </c>
      <c r="G361" s="1" t="n">
        <v>90060.42</v>
      </c>
      <c r="H361" s="1" t="str">
        <f aca="false">IF(ABS(F361-G361)&lt;=0.01,"PASS","CHECK")</f>
        <v>PASS</v>
      </c>
    </row>
    <row r="362" customFormat="false" ht="15" hidden="false" customHeight="true" outlineLevel="0" collapsed="false">
      <c r="A362" s="1" t="s">
        <v>88</v>
      </c>
      <c r="B362" s="7" t="n">
        <v>45778</v>
      </c>
      <c r="C362" s="1" t="s">
        <v>149</v>
      </c>
      <c r="D362" s="1" t="s">
        <v>186</v>
      </c>
      <c r="E362" s="1" t="s">
        <v>187</v>
      </c>
      <c r="F362" s="1" t="n">
        <v>90060.42</v>
      </c>
      <c r="G362" s="1" t="n">
        <v>90060.42</v>
      </c>
      <c r="H362" s="1" t="str">
        <f aca="false">IF(ABS(F362-G362)&lt;=0.01,"PASS","CHECK")</f>
        <v>PASS</v>
      </c>
    </row>
    <row r="363" customFormat="false" ht="15" hidden="false" customHeight="true" outlineLevel="0" collapsed="false">
      <c r="A363" s="1" t="s">
        <v>88</v>
      </c>
      <c r="B363" s="7" t="n">
        <v>45809</v>
      </c>
      <c r="C363" s="1" t="s">
        <v>149</v>
      </c>
      <c r="D363" s="1" t="s">
        <v>186</v>
      </c>
      <c r="E363" s="1" t="s">
        <v>187</v>
      </c>
      <c r="F363" s="1" t="n">
        <v>90060.42</v>
      </c>
      <c r="G363" s="1" t="n">
        <v>90060.42</v>
      </c>
      <c r="H363" s="1" t="str">
        <f aca="false">IF(ABS(F363-G363)&lt;=0.01,"PASS","CHECK")</f>
        <v>PASS</v>
      </c>
    </row>
    <row r="364" customFormat="false" ht="15" hidden="false" customHeight="true" outlineLevel="0" collapsed="false">
      <c r="A364" s="1" t="s">
        <v>88</v>
      </c>
      <c r="B364" s="7" t="n">
        <v>45839</v>
      </c>
      <c r="C364" s="1" t="s">
        <v>149</v>
      </c>
      <c r="D364" s="1" t="s">
        <v>186</v>
      </c>
      <c r="E364" s="1" t="s">
        <v>187</v>
      </c>
      <c r="F364" s="1" t="n">
        <v>90060.42</v>
      </c>
      <c r="G364" s="1" t="n">
        <v>90060.42</v>
      </c>
      <c r="H364" s="1" t="str">
        <f aca="false">IF(ABS(F364-G364)&lt;=0.01,"PASS","CHECK")</f>
        <v>PASS</v>
      </c>
    </row>
    <row r="365" customFormat="false" ht="15" hidden="false" customHeight="true" outlineLevel="0" collapsed="false">
      <c r="A365" s="1" t="s">
        <v>88</v>
      </c>
      <c r="B365" s="7" t="n">
        <v>45870</v>
      </c>
      <c r="C365" s="1" t="s">
        <v>149</v>
      </c>
      <c r="D365" s="1" t="s">
        <v>186</v>
      </c>
      <c r="E365" s="1" t="s">
        <v>187</v>
      </c>
      <c r="F365" s="1" t="n">
        <v>90060.42</v>
      </c>
      <c r="G365" s="1" t="n">
        <v>90060.42</v>
      </c>
      <c r="H365" s="1" t="str">
        <f aca="false">IF(ABS(F365-G365)&lt;=0.01,"PASS","CHECK")</f>
        <v>PASS</v>
      </c>
    </row>
    <row r="366" customFormat="false" ht="15" hidden="false" customHeight="true" outlineLevel="0" collapsed="false">
      <c r="A366" s="1" t="s">
        <v>88</v>
      </c>
      <c r="B366" s="7" t="n">
        <v>45901</v>
      </c>
      <c r="C366" s="1" t="s">
        <v>149</v>
      </c>
      <c r="D366" s="1" t="s">
        <v>186</v>
      </c>
      <c r="E366" s="1" t="s">
        <v>187</v>
      </c>
      <c r="F366" s="1" t="n">
        <v>90060.42</v>
      </c>
      <c r="G366" s="1" t="n">
        <v>90060.42</v>
      </c>
      <c r="H366" s="1" t="str">
        <f aca="false">IF(ABS(F366-G366)&lt;=0.01,"PASS","CHECK")</f>
        <v>PASS</v>
      </c>
    </row>
    <row r="367" customFormat="false" ht="15" hidden="false" customHeight="true" outlineLevel="0" collapsed="false">
      <c r="A367" s="1" t="s">
        <v>88</v>
      </c>
      <c r="B367" s="7" t="n">
        <v>45931</v>
      </c>
      <c r="C367" s="1" t="s">
        <v>149</v>
      </c>
      <c r="D367" s="1" t="s">
        <v>186</v>
      </c>
      <c r="E367" s="1" t="s">
        <v>187</v>
      </c>
      <c r="F367" s="1" t="n">
        <v>90060.42</v>
      </c>
      <c r="G367" s="1" t="n">
        <v>90060.42</v>
      </c>
      <c r="H367" s="1" t="str">
        <f aca="false">IF(ABS(F367-G367)&lt;=0.01,"PASS","CHECK")</f>
        <v>PASS</v>
      </c>
    </row>
    <row r="368" customFormat="false" ht="15" hidden="false" customHeight="true" outlineLevel="0" collapsed="false">
      <c r="A368" s="1" t="s">
        <v>88</v>
      </c>
      <c r="B368" s="7" t="n">
        <v>45962</v>
      </c>
      <c r="C368" s="1" t="s">
        <v>149</v>
      </c>
      <c r="D368" s="1" t="s">
        <v>186</v>
      </c>
      <c r="E368" s="1" t="s">
        <v>187</v>
      </c>
      <c r="F368" s="1" t="n">
        <v>90060.42</v>
      </c>
      <c r="G368" s="1" t="n">
        <v>90060.42</v>
      </c>
      <c r="H368" s="1" t="str">
        <f aca="false">IF(ABS(F368-G368)&lt;=0.01,"PASS","CHECK")</f>
        <v>PASS</v>
      </c>
    </row>
    <row r="369" customFormat="false" ht="15" hidden="false" customHeight="true" outlineLevel="0" collapsed="false">
      <c r="A369" s="1" t="s">
        <v>88</v>
      </c>
      <c r="B369" s="7" t="n">
        <v>45992</v>
      </c>
      <c r="C369" s="1" t="s">
        <v>149</v>
      </c>
      <c r="D369" s="1" t="s">
        <v>186</v>
      </c>
      <c r="E369" s="1" t="s">
        <v>187</v>
      </c>
      <c r="F369" s="1" t="n">
        <v>90060.42</v>
      </c>
      <c r="G369" s="1" t="n">
        <v>90060.42</v>
      </c>
      <c r="H369" s="1" t="str">
        <f aca="false">IF(ABS(F369-G369)&lt;=0.01,"PASS","CHECK")</f>
        <v>PASS</v>
      </c>
    </row>
    <row r="370" customFormat="false" ht="15" hidden="false" customHeight="true" outlineLevel="0" collapsed="false">
      <c r="A370" s="1" t="s">
        <v>88</v>
      </c>
      <c r="B370" s="7" t="n">
        <v>46023</v>
      </c>
      <c r="C370" s="1" t="s">
        <v>149</v>
      </c>
      <c r="D370" s="1" t="s">
        <v>186</v>
      </c>
      <c r="E370" s="1" t="s">
        <v>187</v>
      </c>
      <c r="F370" s="1" t="n">
        <v>90060.42</v>
      </c>
      <c r="G370" s="1" t="n">
        <v>90060.42</v>
      </c>
      <c r="H370" s="1" t="str">
        <f aca="false">IF(ABS(F370-G370)&lt;=0.01,"PASS","CHECK")</f>
        <v>PASS</v>
      </c>
    </row>
    <row r="371" customFormat="false" ht="15" hidden="false" customHeight="true" outlineLevel="0" collapsed="false">
      <c r="A371" s="1" t="s">
        <v>88</v>
      </c>
      <c r="B371" s="7" t="n">
        <v>46054</v>
      </c>
      <c r="C371" s="1" t="s">
        <v>149</v>
      </c>
      <c r="D371" s="1" t="s">
        <v>186</v>
      </c>
      <c r="E371" s="1" t="s">
        <v>187</v>
      </c>
      <c r="F371" s="1" t="n">
        <v>90060.42</v>
      </c>
      <c r="G371" s="1" t="n">
        <v>90060.42</v>
      </c>
      <c r="H371" s="1" t="str">
        <f aca="false">IF(ABS(F371-G371)&lt;=0.01,"PASS","CHECK")</f>
        <v>PASS</v>
      </c>
    </row>
    <row r="372" customFormat="false" ht="15" hidden="false" customHeight="true" outlineLevel="0" collapsed="false">
      <c r="A372" s="1" t="s">
        <v>88</v>
      </c>
      <c r="B372" s="7" t="n">
        <v>46082</v>
      </c>
      <c r="C372" s="1" t="s">
        <v>149</v>
      </c>
      <c r="D372" s="1" t="s">
        <v>186</v>
      </c>
      <c r="E372" s="1" t="s">
        <v>187</v>
      </c>
      <c r="F372" s="1" t="n">
        <v>90060.42</v>
      </c>
      <c r="G372" s="1" t="n">
        <v>90060.42</v>
      </c>
      <c r="H372" s="1" t="str">
        <f aca="false">IF(ABS(F372-G372)&lt;=0.01,"PASS","CHECK")</f>
        <v>PASS</v>
      </c>
    </row>
    <row r="373" customFormat="false" ht="15" hidden="false" customHeight="true" outlineLevel="0" collapsed="false">
      <c r="A373" s="1" t="s">
        <v>88</v>
      </c>
      <c r="B373" s="7" t="n">
        <v>46113</v>
      </c>
      <c r="C373" s="1" t="s">
        <v>149</v>
      </c>
      <c r="D373" s="1" t="s">
        <v>186</v>
      </c>
      <c r="E373" s="1" t="s">
        <v>187</v>
      </c>
      <c r="F373" s="1" t="n">
        <v>90060.42</v>
      </c>
      <c r="G373" s="1" t="n">
        <v>90060.42</v>
      </c>
      <c r="H373" s="1" t="str">
        <f aca="false">IF(ABS(F373-G373)&lt;=0.01,"PASS","CHECK")</f>
        <v>PASS</v>
      </c>
    </row>
    <row r="374" customFormat="false" ht="15" hidden="false" customHeight="true" outlineLevel="0" collapsed="false">
      <c r="A374" s="1" t="s">
        <v>88</v>
      </c>
      <c r="B374" s="7" t="n">
        <v>46143</v>
      </c>
      <c r="C374" s="1" t="s">
        <v>149</v>
      </c>
      <c r="D374" s="1" t="s">
        <v>186</v>
      </c>
      <c r="E374" s="1" t="s">
        <v>187</v>
      </c>
      <c r="F374" s="1" t="n">
        <v>90060.42</v>
      </c>
      <c r="G374" s="1" t="n">
        <v>90060.42</v>
      </c>
      <c r="H374" s="1" t="str">
        <f aca="false">IF(ABS(F374-G374)&lt;=0.01,"PASS","CHECK")</f>
        <v>PASS</v>
      </c>
    </row>
    <row r="375" customFormat="false" ht="15" hidden="false" customHeight="true" outlineLevel="0" collapsed="false">
      <c r="A375" s="1" t="s">
        <v>88</v>
      </c>
      <c r="B375" s="7" t="n">
        <v>46174</v>
      </c>
      <c r="C375" s="1" t="s">
        <v>149</v>
      </c>
      <c r="D375" s="1" t="s">
        <v>186</v>
      </c>
      <c r="E375" s="1" t="s">
        <v>187</v>
      </c>
      <c r="F375" s="1" t="n">
        <v>90060.42</v>
      </c>
      <c r="G375" s="1" t="n">
        <v>90060.42</v>
      </c>
      <c r="H375" s="1" t="str">
        <f aca="false">IF(ABS(F375-G375)&lt;=0.01,"PASS","CHECK")</f>
        <v>PASS</v>
      </c>
    </row>
    <row r="376" customFormat="false" ht="15" hidden="false" customHeight="true" outlineLevel="0" collapsed="false">
      <c r="A376" s="1" t="s">
        <v>88</v>
      </c>
      <c r="B376" s="7" t="n">
        <v>46204</v>
      </c>
      <c r="C376" s="1" t="s">
        <v>149</v>
      </c>
      <c r="D376" s="1" t="s">
        <v>186</v>
      </c>
      <c r="E376" s="1" t="s">
        <v>187</v>
      </c>
      <c r="F376" s="1" t="n">
        <v>90060.42</v>
      </c>
      <c r="G376" s="1" t="n">
        <v>90060.42</v>
      </c>
      <c r="H376" s="1" t="str">
        <f aca="false">IF(ABS(F376-G376)&lt;=0.01,"PASS","CHECK")</f>
        <v>PASS</v>
      </c>
    </row>
    <row r="377" customFormat="false" ht="15" hidden="false" customHeight="true" outlineLevel="0" collapsed="false">
      <c r="A377" s="1" t="s">
        <v>88</v>
      </c>
      <c r="B377" s="7" t="n">
        <v>46235</v>
      </c>
      <c r="C377" s="1" t="s">
        <v>149</v>
      </c>
      <c r="D377" s="1" t="s">
        <v>186</v>
      </c>
      <c r="E377" s="1" t="s">
        <v>187</v>
      </c>
      <c r="F377" s="1" t="n">
        <v>90060.42</v>
      </c>
      <c r="G377" s="1" t="n">
        <v>90060.42</v>
      </c>
      <c r="H377" s="1" t="str">
        <f aca="false">IF(ABS(F377-G377)&lt;=0.01,"PASS","CHECK")</f>
        <v>PASS</v>
      </c>
    </row>
    <row r="378" customFormat="false" ht="15" hidden="false" customHeight="true" outlineLevel="0" collapsed="false">
      <c r="A378" s="1" t="s">
        <v>88</v>
      </c>
      <c r="B378" s="7" t="n">
        <v>46266</v>
      </c>
      <c r="C378" s="1" t="s">
        <v>149</v>
      </c>
      <c r="D378" s="1" t="s">
        <v>186</v>
      </c>
      <c r="E378" s="1" t="s">
        <v>187</v>
      </c>
      <c r="F378" s="1" t="n">
        <v>90060.42</v>
      </c>
      <c r="G378" s="1" t="n">
        <v>90060.42</v>
      </c>
      <c r="H378" s="1" t="str">
        <f aca="false">IF(ABS(F378-G378)&lt;=0.01,"PASS","CHECK")</f>
        <v>PASS</v>
      </c>
    </row>
    <row r="379" customFormat="false" ht="15" hidden="false" customHeight="true" outlineLevel="0" collapsed="false">
      <c r="A379" s="1" t="s">
        <v>88</v>
      </c>
      <c r="B379" s="7" t="s">
        <v>203</v>
      </c>
      <c r="C379" s="1" t="s">
        <v>188</v>
      </c>
      <c r="D379" s="1" t="s">
        <v>189</v>
      </c>
      <c r="E379" s="1" t="s">
        <v>180</v>
      </c>
      <c r="F379" s="1" t="n">
        <v>74713.89</v>
      </c>
      <c r="G379" s="1" t="n">
        <v>74713.89</v>
      </c>
      <c r="H379" s="1" t="str">
        <f aca="false">IF(ABS(F379-G379)&lt;=0.01,"PASS","CHECK")</f>
        <v>PASS</v>
      </c>
    </row>
    <row r="380" customFormat="false" ht="15" hidden="false" customHeight="true" outlineLevel="0" collapsed="false">
      <c r="A380" s="1" t="s">
        <v>88</v>
      </c>
      <c r="B380" s="7" t="s">
        <v>203</v>
      </c>
      <c r="C380" s="1" t="s">
        <v>190</v>
      </c>
      <c r="D380" s="1" t="s">
        <v>177</v>
      </c>
      <c r="E380" s="1" t="s">
        <v>180</v>
      </c>
      <c r="F380" s="1" t="n">
        <v>25286.11</v>
      </c>
      <c r="G380" s="1" t="n">
        <v>25286.11</v>
      </c>
      <c r="H380" s="1" t="str">
        <f aca="false">IF(ABS(F380-G380)&lt;=0.01,"PASS","CHECK")</f>
        <v>PASS</v>
      </c>
    </row>
    <row r="381" customFormat="false" ht="15" hidden="false" customHeight="true" outlineLevel="0" collapsed="false">
      <c r="A381" s="1" t="s">
        <v>88</v>
      </c>
      <c r="B381" s="7" t="n">
        <v>45139</v>
      </c>
      <c r="C381" s="1" t="s">
        <v>191</v>
      </c>
      <c r="D381" s="1" t="s">
        <v>189</v>
      </c>
      <c r="E381" s="1" t="s">
        <v>156</v>
      </c>
      <c r="F381" s="1" t="n">
        <v>370.67</v>
      </c>
      <c r="G381" s="1" t="n">
        <v>370.67</v>
      </c>
      <c r="H381" s="1" t="str">
        <f aca="false">IF(ABS(F381-G381)&lt;=0.01,"PASS","CHECK")</f>
        <v>PASS</v>
      </c>
    </row>
    <row r="382" customFormat="false" ht="15" hidden="false" customHeight="true" outlineLevel="0" collapsed="false">
      <c r="A382" s="1" t="s">
        <v>88</v>
      </c>
      <c r="B382" s="7" t="n">
        <v>45170</v>
      </c>
      <c r="C382" s="1" t="s">
        <v>191</v>
      </c>
      <c r="D382" s="1" t="s">
        <v>189</v>
      </c>
      <c r="E382" s="1" t="s">
        <v>156</v>
      </c>
      <c r="F382" s="1" t="n">
        <v>372.5</v>
      </c>
      <c r="G382" s="1" t="n">
        <v>372.5</v>
      </c>
      <c r="H382" s="1" t="str">
        <f aca="false">IF(ABS(F382-G382)&lt;=0.01,"PASS","CHECK")</f>
        <v>PASS</v>
      </c>
    </row>
    <row r="383" customFormat="false" ht="15" hidden="false" customHeight="true" outlineLevel="0" collapsed="false">
      <c r="A383" s="1" t="s">
        <v>88</v>
      </c>
      <c r="B383" s="7" t="n">
        <v>45200</v>
      </c>
      <c r="C383" s="1" t="s">
        <v>191</v>
      </c>
      <c r="D383" s="1" t="s">
        <v>189</v>
      </c>
      <c r="E383" s="1" t="s">
        <v>156</v>
      </c>
      <c r="F383" s="1" t="n">
        <v>362.25</v>
      </c>
      <c r="G383" s="1" t="n">
        <v>362.25</v>
      </c>
      <c r="H383" s="1" t="str">
        <f aca="false">IF(ABS(F383-G383)&lt;=0.01,"PASS","CHECK")</f>
        <v>PASS</v>
      </c>
    </row>
    <row r="384" customFormat="false" ht="15" hidden="false" customHeight="true" outlineLevel="0" collapsed="false">
      <c r="A384" s="1" t="s">
        <v>88</v>
      </c>
      <c r="B384" s="7" t="n">
        <v>45231</v>
      </c>
      <c r="C384" s="1" t="s">
        <v>191</v>
      </c>
      <c r="D384" s="1" t="s">
        <v>189</v>
      </c>
      <c r="E384" s="1" t="s">
        <v>156</v>
      </c>
      <c r="F384" s="1" t="n">
        <v>376.15</v>
      </c>
      <c r="G384" s="1" t="n">
        <v>376.15</v>
      </c>
      <c r="H384" s="1" t="str">
        <f aca="false">IF(ABS(F384-G384)&lt;=0.01,"PASS","CHECK")</f>
        <v>PASS</v>
      </c>
    </row>
    <row r="385" customFormat="false" ht="15" hidden="false" customHeight="true" outlineLevel="0" collapsed="false">
      <c r="A385" s="1" t="s">
        <v>88</v>
      </c>
      <c r="B385" s="7" t="n">
        <v>45261</v>
      </c>
      <c r="C385" s="1" t="s">
        <v>191</v>
      </c>
      <c r="D385" s="1" t="s">
        <v>189</v>
      </c>
      <c r="E385" s="1" t="s">
        <v>156</v>
      </c>
      <c r="F385" s="1" t="n">
        <v>365.79</v>
      </c>
      <c r="G385" s="1" t="n">
        <v>365.79</v>
      </c>
      <c r="H385" s="1" t="str">
        <f aca="false">IF(ABS(F385-G385)&lt;=0.01,"PASS","CHECK")</f>
        <v>PASS</v>
      </c>
    </row>
    <row r="386" customFormat="false" ht="15" hidden="false" customHeight="true" outlineLevel="0" collapsed="false">
      <c r="A386" s="1" t="s">
        <v>88</v>
      </c>
      <c r="B386" s="7" t="n">
        <v>45292</v>
      </c>
      <c r="C386" s="1" t="s">
        <v>191</v>
      </c>
      <c r="D386" s="1" t="s">
        <v>189</v>
      </c>
      <c r="E386" s="1" t="s">
        <v>156</v>
      </c>
      <c r="F386" s="1" t="n">
        <v>379.83</v>
      </c>
      <c r="G386" s="1" t="n">
        <v>379.83</v>
      </c>
      <c r="H386" s="1" t="str">
        <f aca="false">IF(ABS(F386-G386)&lt;=0.01,"PASS","CHECK")</f>
        <v>PASS</v>
      </c>
    </row>
    <row r="387" customFormat="false" ht="15" hidden="false" customHeight="true" outlineLevel="0" collapsed="false">
      <c r="A387" s="1" t="s">
        <v>88</v>
      </c>
      <c r="B387" s="7" t="n">
        <v>45323</v>
      </c>
      <c r="C387" s="1" t="s">
        <v>191</v>
      </c>
      <c r="D387" s="1" t="s">
        <v>189</v>
      </c>
      <c r="E387" s="1" t="s">
        <v>156</v>
      </c>
      <c r="F387" s="1" t="n">
        <v>381.71</v>
      </c>
      <c r="G387" s="1" t="n">
        <v>381.71</v>
      </c>
      <c r="H387" s="1" t="str">
        <f aca="false">IF(ABS(F387-G387)&lt;=0.01,"PASS","CHECK")</f>
        <v>PASS</v>
      </c>
    </row>
    <row r="388" customFormat="false" ht="15" hidden="false" customHeight="true" outlineLevel="0" collapsed="false">
      <c r="A388" s="1" t="s">
        <v>88</v>
      </c>
      <c r="B388" s="7" t="n">
        <v>45352</v>
      </c>
      <c r="C388" s="1" t="s">
        <v>191</v>
      </c>
      <c r="D388" s="1" t="s">
        <v>189</v>
      </c>
      <c r="E388" s="1" t="s">
        <v>156</v>
      </c>
      <c r="F388" s="1" t="n">
        <v>358.8</v>
      </c>
      <c r="G388" s="1" t="n">
        <v>358.8</v>
      </c>
      <c r="H388" s="1" t="str">
        <f aca="false">IF(ABS(F388-G388)&lt;=0.01,"PASS","CHECK")</f>
        <v>PASS</v>
      </c>
    </row>
    <row r="389" customFormat="false" ht="15" hidden="false" customHeight="true" outlineLevel="0" collapsed="false">
      <c r="A389" s="1" t="s">
        <v>88</v>
      </c>
      <c r="B389" s="7" t="n">
        <v>45383</v>
      </c>
      <c r="C389" s="1" t="s">
        <v>191</v>
      </c>
      <c r="D389" s="1" t="s">
        <v>189</v>
      </c>
      <c r="E389" s="1" t="s">
        <v>156</v>
      </c>
      <c r="F389" s="1" t="n">
        <v>385.39</v>
      </c>
      <c r="G389" s="1" t="n">
        <v>385.39</v>
      </c>
      <c r="H389" s="1" t="str">
        <f aca="false">IF(ABS(F389-G389)&lt;=0.01,"PASS","CHECK")</f>
        <v>PASS</v>
      </c>
    </row>
    <row r="390" customFormat="false" ht="15" hidden="false" customHeight="true" outlineLevel="0" collapsed="false">
      <c r="A390" s="1" t="s">
        <v>88</v>
      </c>
      <c r="B390" s="7" t="n">
        <v>45413</v>
      </c>
      <c r="C390" s="1" t="s">
        <v>191</v>
      </c>
      <c r="D390" s="1" t="s">
        <v>189</v>
      </c>
      <c r="E390" s="1" t="s">
        <v>156</v>
      </c>
      <c r="F390" s="1" t="n">
        <v>374.78</v>
      </c>
      <c r="G390" s="1" t="n">
        <v>374.78</v>
      </c>
      <c r="H390" s="1" t="str">
        <f aca="false">IF(ABS(F390-G390)&lt;=0.01,"PASS","CHECK")</f>
        <v>PASS</v>
      </c>
    </row>
    <row r="391" customFormat="false" ht="15" hidden="false" customHeight="true" outlineLevel="0" collapsed="false">
      <c r="A391" s="1" t="s">
        <v>88</v>
      </c>
      <c r="B391" s="7" t="n">
        <v>45444</v>
      </c>
      <c r="C391" s="1" t="s">
        <v>191</v>
      </c>
      <c r="D391" s="1" t="s">
        <v>189</v>
      </c>
      <c r="E391" s="1" t="s">
        <v>156</v>
      </c>
      <c r="F391" s="1" t="n">
        <v>389.16</v>
      </c>
      <c r="G391" s="1" t="n">
        <v>389.16</v>
      </c>
      <c r="H391" s="1" t="str">
        <f aca="false">IF(ABS(F391-G391)&lt;=0.01,"PASS","CHECK")</f>
        <v>PASS</v>
      </c>
    </row>
    <row r="392" customFormat="false" ht="15" hidden="false" customHeight="true" outlineLevel="0" collapsed="false">
      <c r="A392" s="1" t="s">
        <v>88</v>
      </c>
      <c r="B392" s="7" t="n">
        <v>45474</v>
      </c>
      <c r="C392" s="1" t="s">
        <v>191</v>
      </c>
      <c r="D392" s="1" t="s">
        <v>189</v>
      </c>
      <c r="E392" s="1" t="s">
        <v>156</v>
      </c>
      <c r="F392" s="1" t="n">
        <v>378.44</v>
      </c>
      <c r="G392" s="1" t="n">
        <v>378.44</v>
      </c>
      <c r="H392" s="1" t="str">
        <f aca="false">IF(ABS(F392-G392)&lt;=0.01,"PASS","CHECK")</f>
        <v>PASS</v>
      </c>
    </row>
    <row r="393" customFormat="false" ht="15" hidden="false" customHeight="true" outlineLevel="0" collapsed="false">
      <c r="A393" s="1" t="s">
        <v>88</v>
      </c>
      <c r="B393" s="7" t="n">
        <v>45505</v>
      </c>
      <c r="C393" s="1" t="s">
        <v>191</v>
      </c>
      <c r="D393" s="1" t="s">
        <v>189</v>
      </c>
      <c r="E393" s="1" t="s">
        <v>156</v>
      </c>
      <c r="F393" s="1" t="n">
        <v>392.97</v>
      </c>
      <c r="G393" s="1" t="n">
        <v>392.97</v>
      </c>
      <c r="H393" s="1" t="str">
        <f aca="false">IF(ABS(F393-G393)&lt;=0.01,"PASS","CHECK")</f>
        <v>PASS</v>
      </c>
    </row>
    <row r="394" customFormat="false" ht="15" hidden="false" customHeight="true" outlineLevel="0" collapsed="false">
      <c r="A394" s="1" t="s">
        <v>88</v>
      </c>
      <c r="B394" s="7" t="n">
        <v>45536</v>
      </c>
      <c r="C394" s="1" t="s">
        <v>191</v>
      </c>
      <c r="D394" s="1" t="s">
        <v>189</v>
      </c>
      <c r="E394" s="1" t="s">
        <v>156</v>
      </c>
      <c r="F394" s="1" t="n">
        <v>394.92</v>
      </c>
      <c r="G394" s="1" t="n">
        <v>394.92</v>
      </c>
      <c r="H394" s="1" t="str">
        <f aca="false">IF(ABS(F394-G394)&lt;=0.01,"PASS","CHECK")</f>
        <v>PASS</v>
      </c>
    </row>
    <row r="395" customFormat="false" ht="15" hidden="false" customHeight="true" outlineLevel="0" collapsed="false">
      <c r="A395" s="1" t="s">
        <v>88</v>
      </c>
      <c r="B395" s="7" t="n">
        <v>45566</v>
      </c>
      <c r="C395" s="1" t="s">
        <v>191</v>
      </c>
      <c r="D395" s="1" t="s">
        <v>189</v>
      </c>
      <c r="E395" s="1" t="s">
        <v>156</v>
      </c>
      <c r="F395" s="1" t="n">
        <v>384.04</v>
      </c>
      <c r="G395" s="1" t="n">
        <v>384.04</v>
      </c>
      <c r="H395" s="1" t="str">
        <f aca="false">IF(ABS(F395-G395)&lt;=0.01,"PASS","CHECK")</f>
        <v>PASS</v>
      </c>
    </row>
    <row r="396" customFormat="false" ht="15" hidden="false" customHeight="true" outlineLevel="0" collapsed="false">
      <c r="A396" s="1" t="s">
        <v>88</v>
      </c>
      <c r="B396" s="7" t="n">
        <v>45597</v>
      </c>
      <c r="C396" s="1" t="s">
        <v>191</v>
      </c>
      <c r="D396" s="1" t="s">
        <v>189</v>
      </c>
      <c r="E396" s="1" t="s">
        <v>156</v>
      </c>
      <c r="F396" s="1" t="n">
        <v>398.78</v>
      </c>
      <c r="G396" s="1" t="n">
        <v>398.78</v>
      </c>
      <c r="H396" s="1" t="str">
        <f aca="false">IF(ABS(F396-G396)&lt;=0.01,"PASS","CHECK")</f>
        <v>PASS</v>
      </c>
    </row>
    <row r="397" customFormat="false" ht="15" hidden="false" customHeight="true" outlineLevel="0" collapsed="false">
      <c r="A397" s="1" t="s">
        <v>88</v>
      </c>
      <c r="B397" s="7" t="n">
        <v>45627</v>
      </c>
      <c r="C397" s="1" t="s">
        <v>191</v>
      </c>
      <c r="D397" s="1" t="s">
        <v>189</v>
      </c>
      <c r="E397" s="1" t="s">
        <v>156</v>
      </c>
      <c r="F397" s="1" t="n">
        <v>387.8</v>
      </c>
      <c r="G397" s="1" t="n">
        <v>387.8</v>
      </c>
      <c r="H397" s="1" t="str">
        <f aca="false">IF(ABS(F397-G397)&lt;=0.01,"PASS","CHECK")</f>
        <v>PASS</v>
      </c>
    </row>
    <row r="398" customFormat="false" ht="15" hidden="false" customHeight="true" outlineLevel="0" collapsed="false">
      <c r="A398" s="1" t="s">
        <v>88</v>
      </c>
      <c r="B398" s="7" t="n">
        <v>45658</v>
      </c>
      <c r="C398" s="1" t="s">
        <v>191</v>
      </c>
      <c r="D398" s="1" t="s">
        <v>189</v>
      </c>
      <c r="E398" s="1" t="s">
        <v>156</v>
      </c>
      <c r="F398" s="1" t="n">
        <v>402.68</v>
      </c>
      <c r="G398" s="1" t="n">
        <v>402.68</v>
      </c>
      <c r="H398" s="1" t="str">
        <f aca="false">IF(ABS(F398-G398)&lt;=0.01,"PASS","CHECK")</f>
        <v>PASS</v>
      </c>
    </row>
    <row r="399" customFormat="false" ht="15" hidden="false" customHeight="true" outlineLevel="0" collapsed="false">
      <c r="A399" s="1" t="s">
        <v>88</v>
      </c>
      <c r="B399" s="7" t="n">
        <v>45689</v>
      </c>
      <c r="C399" s="1" t="s">
        <v>191</v>
      </c>
      <c r="D399" s="1" t="s">
        <v>189</v>
      </c>
      <c r="E399" s="1" t="s">
        <v>156</v>
      </c>
      <c r="F399" s="1" t="n">
        <v>404.68</v>
      </c>
      <c r="G399" s="1" t="n">
        <v>404.68</v>
      </c>
      <c r="H399" s="1" t="str">
        <f aca="false">IF(ABS(F399-G399)&lt;=0.01,"PASS","CHECK")</f>
        <v>PASS</v>
      </c>
    </row>
    <row r="400" customFormat="false" ht="15" hidden="false" customHeight="true" outlineLevel="0" collapsed="false">
      <c r="A400" s="1" t="s">
        <v>88</v>
      </c>
      <c r="B400" s="7" t="n">
        <v>45717</v>
      </c>
      <c r="C400" s="1" t="s">
        <v>191</v>
      </c>
      <c r="D400" s="1" t="s">
        <v>189</v>
      </c>
      <c r="E400" s="1" t="s">
        <v>156</v>
      </c>
      <c r="F400" s="1" t="n">
        <v>367.24</v>
      </c>
      <c r="G400" s="1" t="n">
        <v>367.24</v>
      </c>
      <c r="H400" s="1" t="str">
        <f aca="false">IF(ABS(F400-G400)&lt;=0.01,"PASS","CHECK")</f>
        <v>PASS</v>
      </c>
    </row>
    <row r="401" customFormat="false" ht="15" hidden="false" customHeight="true" outlineLevel="0" collapsed="false">
      <c r="A401" s="1" t="s">
        <v>88</v>
      </c>
      <c r="B401" s="7" t="n">
        <v>45748</v>
      </c>
      <c r="C401" s="1" t="s">
        <v>191</v>
      </c>
      <c r="D401" s="1" t="s">
        <v>189</v>
      </c>
      <c r="E401" s="1" t="s">
        <v>156</v>
      </c>
      <c r="F401" s="1" t="n">
        <v>408.51</v>
      </c>
      <c r="G401" s="1" t="n">
        <v>408.51</v>
      </c>
      <c r="H401" s="1" t="str">
        <f aca="false">IF(ABS(F401-G401)&lt;=0.01,"PASS","CHECK")</f>
        <v>PASS</v>
      </c>
    </row>
    <row r="402" customFormat="false" ht="15" hidden="false" customHeight="true" outlineLevel="0" collapsed="false">
      <c r="A402" s="1" t="s">
        <v>88</v>
      </c>
      <c r="B402" s="7" t="n">
        <v>45778</v>
      </c>
      <c r="C402" s="1" t="s">
        <v>191</v>
      </c>
      <c r="D402" s="1" t="s">
        <v>189</v>
      </c>
      <c r="E402" s="1" t="s">
        <v>156</v>
      </c>
      <c r="F402" s="1" t="n">
        <v>397.26</v>
      </c>
      <c r="G402" s="1" t="n">
        <v>397.26</v>
      </c>
      <c r="H402" s="1" t="str">
        <f aca="false">IF(ABS(F402-G402)&lt;=0.01,"PASS","CHECK")</f>
        <v>PASS</v>
      </c>
    </row>
    <row r="403" customFormat="false" ht="15" hidden="false" customHeight="true" outlineLevel="0" collapsed="false">
      <c r="A403" s="1" t="s">
        <v>88</v>
      </c>
      <c r="B403" s="7" t="n">
        <v>45809</v>
      </c>
      <c r="C403" s="1" t="s">
        <v>191</v>
      </c>
      <c r="D403" s="1" t="s">
        <v>189</v>
      </c>
      <c r="E403" s="1" t="s">
        <v>156</v>
      </c>
      <c r="F403" s="1" t="n">
        <v>412.51</v>
      </c>
      <c r="G403" s="1" t="n">
        <v>412.51</v>
      </c>
      <c r="H403" s="1" t="str">
        <f aca="false">IF(ABS(F403-G403)&lt;=0.01,"PASS","CHECK")</f>
        <v>PASS</v>
      </c>
    </row>
    <row r="404" customFormat="false" ht="15" hidden="false" customHeight="true" outlineLevel="0" collapsed="false">
      <c r="A404" s="1" t="s">
        <v>88</v>
      </c>
      <c r="B404" s="7" t="n">
        <v>45839</v>
      </c>
      <c r="C404" s="1" t="s">
        <v>191</v>
      </c>
      <c r="D404" s="1" t="s">
        <v>189</v>
      </c>
      <c r="E404" s="1" t="s">
        <v>156</v>
      </c>
      <c r="F404" s="1" t="n">
        <v>401.15</v>
      </c>
      <c r="G404" s="1" t="n">
        <v>401.15</v>
      </c>
      <c r="H404" s="1" t="str">
        <f aca="false">IF(ABS(F404-G404)&lt;=0.01,"PASS","CHECK")</f>
        <v>PASS</v>
      </c>
    </row>
    <row r="405" customFormat="false" ht="15" hidden="false" customHeight="true" outlineLevel="0" collapsed="false">
      <c r="A405" s="1" t="s">
        <v>88</v>
      </c>
      <c r="B405" s="7" t="n">
        <v>45870</v>
      </c>
      <c r="C405" s="1" t="s">
        <v>191</v>
      </c>
      <c r="D405" s="1" t="s">
        <v>189</v>
      </c>
      <c r="E405" s="1" t="s">
        <v>156</v>
      </c>
      <c r="F405" s="1" t="n">
        <v>416.55</v>
      </c>
      <c r="G405" s="1" t="n">
        <v>416.55</v>
      </c>
      <c r="H405" s="1" t="str">
        <f aca="false">IF(ABS(F405-G405)&lt;=0.01,"PASS","CHECK")</f>
        <v>PASS</v>
      </c>
    </row>
    <row r="406" customFormat="false" ht="15" hidden="false" customHeight="true" outlineLevel="0" collapsed="false">
      <c r="A406" s="1" t="s">
        <v>88</v>
      </c>
      <c r="B406" s="7" t="n">
        <v>45901</v>
      </c>
      <c r="C406" s="1" t="s">
        <v>191</v>
      </c>
      <c r="D406" s="1" t="s">
        <v>189</v>
      </c>
      <c r="E406" s="1" t="s">
        <v>156</v>
      </c>
      <c r="F406" s="1" t="n">
        <v>418.61</v>
      </c>
      <c r="G406" s="1" t="n">
        <v>418.61</v>
      </c>
      <c r="H406" s="1" t="str">
        <f aca="false">IF(ABS(F406-G406)&lt;=0.01,"PASS","CHECK")</f>
        <v>PASS</v>
      </c>
    </row>
    <row r="407" customFormat="false" ht="15" hidden="false" customHeight="true" outlineLevel="0" collapsed="false">
      <c r="A407" s="1" t="s">
        <v>88</v>
      </c>
      <c r="B407" s="7" t="n">
        <v>45931</v>
      </c>
      <c r="C407" s="1" t="s">
        <v>191</v>
      </c>
      <c r="D407" s="1" t="s">
        <v>189</v>
      </c>
      <c r="E407" s="1" t="s">
        <v>156</v>
      </c>
      <c r="F407" s="1" t="n">
        <v>407.09</v>
      </c>
      <c r="G407" s="1" t="n">
        <v>407.09</v>
      </c>
      <c r="H407" s="1" t="str">
        <f aca="false">IF(ABS(F407-G407)&lt;=0.01,"PASS","CHECK")</f>
        <v>PASS</v>
      </c>
    </row>
    <row r="408" customFormat="false" ht="15" hidden="false" customHeight="true" outlineLevel="0" collapsed="false">
      <c r="A408" s="1" t="s">
        <v>88</v>
      </c>
      <c r="B408" s="7" t="n">
        <v>45962</v>
      </c>
      <c r="C408" s="1" t="s">
        <v>191</v>
      </c>
      <c r="D408" s="1" t="s">
        <v>189</v>
      </c>
      <c r="E408" s="1" t="s">
        <v>156</v>
      </c>
      <c r="F408" s="1" t="n">
        <v>422.71</v>
      </c>
      <c r="G408" s="1" t="n">
        <v>422.71</v>
      </c>
      <c r="H408" s="1" t="str">
        <f aca="false">IF(ABS(F408-G408)&lt;=0.01,"PASS","CHECK")</f>
        <v>PASS</v>
      </c>
    </row>
    <row r="409" customFormat="false" ht="15" hidden="false" customHeight="true" outlineLevel="0" collapsed="false">
      <c r="A409" s="1" t="s">
        <v>88</v>
      </c>
      <c r="B409" s="7" t="n">
        <v>45992</v>
      </c>
      <c r="C409" s="1" t="s">
        <v>191</v>
      </c>
      <c r="D409" s="1" t="s">
        <v>189</v>
      </c>
      <c r="E409" s="1" t="s">
        <v>156</v>
      </c>
      <c r="F409" s="1" t="n">
        <v>411.07</v>
      </c>
      <c r="G409" s="1" t="n">
        <v>411.07</v>
      </c>
      <c r="H409" s="1" t="str">
        <f aca="false">IF(ABS(F409-G409)&lt;=0.01,"PASS","CHECK")</f>
        <v>PASS</v>
      </c>
    </row>
    <row r="410" customFormat="false" ht="15" hidden="false" customHeight="true" outlineLevel="0" collapsed="false">
      <c r="A410" s="1" t="s">
        <v>88</v>
      </c>
      <c r="B410" s="7" t="n">
        <v>46023</v>
      </c>
      <c r="C410" s="1" t="s">
        <v>191</v>
      </c>
      <c r="D410" s="1" t="s">
        <v>189</v>
      </c>
      <c r="E410" s="1" t="s">
        <v>156</v>
      </c>
      <c r="F410" s="1" t="n">
        <v>426.85</v>
      </c>
      <c r="G410" s="1" t="n">
        <v>426.85</v>
      </c>
      <c r="H410" s="1" t="str">
        <f aca="false">IF(ABS(F410-G410)&lt;=0.01,"PASS","CHECK")</f>
        <v>PASS</v>
      </c>
    </row>
    <row r="411" customFormat="false" ht="15" hidden="false" customHeight="true" outlineLevel="0" collapsed="false">
      <c r="A411" s="1" t="s">
        <v>88</v>
      </c>
      <c r="B411" s="7" t="n">
        <v>46054</v>
      </c>
      <c r="C411" s="1" t="s">
        <v>191</v>
      </c>
      <c r="D411" s="1" t="s">
        <v>189</v>
      </c>
      <c r="E411" s="1" t="s">
        <v>156</v>
      </c>
      <c r="F411" s="1" t="n">
        <v>428.96</v>
      </c>
      <c r="G411" s="1" t="n">
        <v>428.96</v>
      </c>
      <c r="H411" s="1" t="str">
        <f aca="false">IF(ABS(F411-G411)&lt;=0.01,"PASS","CHECK")</f>
        <v>PASS</v>
      </c>
    </row>
    <row r="412" customFormat="false" ht="15" hidden="false" customHeight="true" outlineLevel="0" collapsed="false">
      <c r="A412" s="1" t="s">
        <v>88</v>
      </c>
      <c r="B412" s="7" t="n">
        <v>46082</v>
      </c>
      <c r="C412" s="1" t="s">
        <v>191</v>
      </c>
      <c r="D412" s="1" t="s">
        <v>189</v>
      </c>
      <c r="E412" s="1" t="s">
        <v>156</v>
      </c>
      <c r="F412" s="1" t="n">
        <v>389.28</v>
      </c>
      <c r="G412" s="1" t="n">
        <v>389.28</v>
      </c>
      <c r="H412" s="1" t="str">
        <f aca="false">IF(ABS(F412-G412)&lt;=0.01,"PASS","CHECK")</f>
        <v>PASS</v>
      </c>
    </row>
    <row r="413" customFormat="false" ht="15" hidden="false" customHeight="true" outlineLevel="0" collapsed="false">
      <c r="A413" s="1" t="s">
        <v>88</v>
      </c>
      <c r="B413" s="7" t="n">
        <v>46113</v>
      </c>
      <c r="C413" s="1" t="s">
        <v>191</v>
      </c>
      <c r="D413" s="1" t="s">
        <v>189</v>
      </c>
      <c r="E413" s="1" t="s">
        <v>156</v>
      </c>
      <c r="F413" s="1" t="n">
        <v>433.02</v>
      </c>
      <c r="G413" s="1" t="n">
        <v>433.02</v>
      </c>
      <c r="H413" s="1" t="str">
        <f aca="false">IF(ABS(F413-G413)&lt;=0.01,"PASS","CHECK")</f>
        <v>PASS</v>
      </c>
    </row>
    <row r="414" customFormat="false" ht="15" hidden="false" customHeight="true" outlineLevel="0" collapsed="false">
      <c r="A414" s="1" t="s">
        <v>88</v>
      </c>
      <c r="B414" s="7" t="n">
        <v>46143</v>
      </c>
      <c r="C414" s="1" t="s">
        <v>191</v>
      </c>
      <c r="D414" s="1" t="s">
        <v>189</v>
      </c>
      <c r="E414" s="1" t="s">
        <v>156</v>
      </c>
      <c r="F414" s="1" t="n">
        <v>421.1</v>
      </c>
      <c r="G414" s="1" t="n">
        <v>421.1</v>
      </c>
      <c r="H414" s="1" t="str">
        <f aca="false">IF(ABS(F414-G414)&lt;=0.01,"PASS","CHECK")</f>
        <v>PASS</v>
      </c>
    </row>
    <row r="415" customFormat="false" ht="15" hidden="false" customHeight="true" outlineLevel="0" collapsed="false">
      <c r="A415" s="1" t="s">
        <v>88</v>
      </c>
      <c r="B415" s="7" t="n">
        <v>46174</v>
      </c>
      <c r="C415" s="1" t="s">
        <v>191</v>
      </c>
      <c r="D415" s="1" t="s">
        <v>189</v>
      </c>
      <c r="E415" s="1" t="s">
        <v>156</v>
      </c>
      <c r="F415" s="1" t="n">
        <v>437.26</v>
      </c>
      <c r="G415" s="1" t="n">
        <v>437.26</v>
      </c>
      <c r="H415" s="1" t="str">
        <f aca="false">IF(ABS(F415-G415)&lt;=0.01,"PASS","CHECK")</f>
        <v>PASS</v>
      </c>
    </row>
    <row r="416" customFormat="false" ht="15" hidden="false" customHeight="true" outlineLevel="0" collapsed="false">
      <c r="A416" s="1" t="s">
        <v>88</v>
      </c>
      <c r="B416" s="7" t="n">
        <v>46204</v>
      </c>
      <c r="C416" s="1" t="s">
        <v>191</v>
      </c>
      <c r="D416" s="1" t="s">
        <v>189</v>
      </c>
      <c r="E416" s="1" t="s">
        <v>156</v>
      </c>
      <c r="F416" s="1" t="n">
        <v>425.22</v>
      </c>
      <c r="G416" s="1" t="n">
        <v>425.22</v>
      </c>
      <c r="H416" s="1" t="str">
        <f aca="false">IF(ABS(F416-G416)&lt;=0.01,"PASS","CHECK")</f>
        <v>PASS</v>
      </c>
    </row>
    <row r="417" customFormat="false" ht="15" hidden="false" customHeight="true" outlineLevel="0" collapsed="false">
      <c r="A417" s="1" t="s">
        <v>88</v>
      </c>
      <c r="B417" s="7" t="n">
        <v>46235</v>
      </c>
      <c r="C417" s="1" t="s">
        <v>191</v>
      </c>
      <c r="D417" s="1" t="s">
        <v>189</v>
      </c>
      <c r="E417" s="1" t="s">
        <v>156</v>
      </c>
      <c r="F417" s="1" t="n">
        <v>441.54</v>
      </c>
      <c r="G417" s="1" t="n">
        <v>441.54</v>
      </c>
      <c r="H417" s="1" t="str">
        <f aca="false">IF(ABS(F417-G417)&lt;=0.01,"PASS","CHECK")</f>
        <v>PASS</v>
      </c>
    </row>
    <row r="418" customFormat="false" ht="15" hidden="false" customHeight="true" outlineLevel="0" collapsed="false">
      <c r="A418" s="1" t="s">
        <v>88</v>
      </c>
      <c r="B418" s="7" t="n">
        <v>46266</v>
      </c>
      <c r="C418" s="1" t="s">
        <v>191</v>
      </c>
      <c r="D418" s="1" t="s">
        <v>189</v>
      </c>
      <c r="E418" s="1" t="s">
        <v>156</v>
      </c>
      <c r="F418" s="1" t="n">
        <v>443.73</v>
      </c>
      <c r="G418" s="1" t="n">
        <v>443.73</v>
      </c>
      <c r="H418" s="1" t="str">
        <f aca="false">IF(ABS(F418-G418)&lt;=0.01,"PASS","CHECK")</f>
        <v>PASS</v>
      </c>
    </row>
    <row r="419" customFormat="false" ht="15" hidden="false" customHeight="true" outlineLevel="0" collapsed="false">
      <c r="A419" s="1" t="s">
        <v>88</v>
      </c>
      <c r="B419" s="7" t="n">
        <v>46271</v>
      </c>
      <c r="C419" s="1" t="s">
        <v>191</v>
      </c>
      <c r="D419" s="1" t="s">
        <v>189</v>
      </c>
      <c r="E419" s="1" t="s">
        <v>156</v>
      </c>
      <c r="F419" s="1" t="n">
        <v>71.78</v>
      </c>
      <c r="G419" s="1" t="n">
        <v>71.78</v>
      </c>
      <c r="H419" s="1" t="str">
        <f aca="false">IF(ABS(F419-G419)&lt;=0.01,"PASS","CHECK")</f>
        <v>PASS</v>
      </c>
    </row>
    <row r="420" customFormat="false" ht="15" hidden="false" customHeight="true" outlineLevel="0" collapsed="false">
      <c r="A420" s="1" t="s">
        <v>88</v>
      </c>
      <c r="B420" s="7" t="n">
        <v>45474</v>
      </c>
      <c r="C420" s="1" t="s">
        <v>192</v>
      </c>
      <c r="D420" s="1" t="s">
        <v>193</v>
      </c>
      <c r="E420" s="1" t="s">
        <v>182</v>
      </c>
      <c r="F420" s="1" t="n">
        <v>14169.37</v>
      </c>
      <c r="G420" s="1" t="n">
        <v>14169.37</v>
      </c>
      <c r="H420" s="1" t="str">
        <f aca="false">IF(ABS(F420-G420)&lt;=0.01,"PASS","CHECK")</f>
        <v>PASS</v>
      </c>
    </row>
    <row r="421" customFormat="false" ht="15" hidden="false" customHeight="true" outlineLevel="0" collapsed="false">
      <c r="A421" s="1" t="s">
        <v>88</v>
      </c>
      <c r="B421" s="7" t="n">
        <v>45839</v>
      </c>
      <c r="C421" s="1" t="s">
        <v>192</v>
      </c>
      <c r="D421" s="1" t="s">
        <v>193</v>
      </c>
      <c r="E421" s="1" t="s">
        <v>182</v>
      </c>
      <c r="F421" s="1" t="n">
        <v>15333.45</v>
      </c>
      <c r="G421" s="1" t="n">
        <v>15333.45</v>
      </c>
      <c r="H421" s="1" t="str">
        <f aca="false">IF(ABS(F421-G421)&lt;=0.01,"PASS","CHECK")</f>
        <v>PASS</v>
      </c>
    </row>
    <row r="422" customFormat="false" ht="15" hidden="false" customHeight="true" outlineLevel="0" collapsed="false">
      <c r="A422" s="1" t="s">
        <v>88</v>
      </c>
      <c r="B422" s="7" t="n">
        <v>46204</v>
      </c>
      <c r="C422" s="1" t="s">
        <v>192</v>
      </c>
      <c r="D422" s="1" t="s">
        <v>193</v>
      </c>
      <c r="E422" s="1" t="s">
        <v>182</v>
      </c>
      <c r="F422" s="1" t="n">
        <v>16636.8</v>
      </c>
      <c r="G422" s="1" t="n">
        <v>16636.8</v>
      </c>
      <c r="H422" s="1" t="str">
        <f aca="false">IF(ABS(F422-G422)&lt;=0.01,"PASS","CHECK")</f>
        <v>PASS</v>
      </c>
    </row>
    <row r="423" customFormat="false" ht="15" hidden="false" customHeight="true" outlineLevel="0" collapsed="false">
      <c r="A423" s="1" t="s">
        <v>88</v>
      </c>
      <c r="B423" s="7" t="n">
        <v>46271</v>
      </c>
      <c r="C423" s="1" t="s">
        <v>192</v>
      </c>
      <c r="D423" s="1" t="s">
        <v>193</v>
      </c>
      <c r="E423" s="1" t="s">
        <v>182</v>
      </c>
      <c r="F423" s="1" t="n">
        <v>3204.07</v>
      </c>
      <c r="G423" s="1" t="n">
        <v>3204.07</v>
      </c>
      <c r="H423" s="1" t="str">
        <f aca="false">IF(ABS(F423-G423)&lt;=0.01,"PASS","CHECK")</f>
        <v>PASS</v>
      </c>
    </row>
    <row r="424" customFormat="false" ht="15" hidden="false" customHeight="true" outlineLevel="0" collapsed="false">
      <c r="A424" s="1" t="s">
        <v>88</v>
      </c>
      <c r="B424" s="7" t="n">
        <v>46271</v>
      </c>
      <c r="C424" s="1" t="s">
        <v>194</v>
      </c>
      <c r="D424" s="1" t="s">
        <v>195</v>
      </c>
      <c r="E424" s="1" t="s">
        <v>196</v>
      </c>
      <c r="F424" s="1" t="n">
        <v>1236.9</v>
      </c>
      <c r="G424" s="1" t="n">
        <v>1236.9</v>
      </c>
      <c r="H424" s="1" t="str">
        <f aca="false">IF(ABS(F424-G424)&lt;=0.01,"PASS","CHECK")</f>
        <v>PASS</v>
      </c>
    </row>
    <row r="425" customFormat="false" ht="15" hidden="false" customHeight="true" outlineLevel="0" collapsed="false">
      <c r="A425" s="1" t="s">
        <v>91</v>
      </c>
      <c r="B425" s="7" t="s">
        <v>204</v>
      </c>
      <c r="C425" s="1" t="s">
        <v>176</v>
      </c>
      <c r="D425" s="1" t="s">
        <v>177</v>
      </c>
      <c r="E425" s="1" t="s">
        <v>178</v>
      </c>
      <c r="F425" s="1" t="n">
        <v>3406262.78</v>
      </c>
      <c r="G425" s="1" t="n">
        <v>3406262.78</v>
      </c>
      <c r="H425" s="1" t="str">
        <f aca="false">IF(ABS(F425-G425)&lt;=0.01,"PASS","CHECK")</f>
        <v>PASS</v>
      </c>
    </row>
    <row r="426" customFormat="false" ht="15" hidden="false" customHeight="true" outlineLevel="0" collapsed="false">
      <c r="A426" s="1" t="s">
        <v>91</v>
      </c>
      <c r="B426" s="7" t="s">
        <v>204</v>
      </c>
      <c r="C426" s="1" t="s">
        <v>181</v>
      </c>
      <c r="D426" s="1" t="s">
        <v>177</v>
      </c>
      <c r="E426" s="1" t="s">
        <v>182</v>
      </c>
      <c r="F426" s="1" t="n">
        <v>112320.08</v>
      </c>
      <c r="G426" s="1" t="n">
        <v>112320.08</v>
      </c>
      <c r="H426" s="1" t="str">
        <f aca="false">IF(ABS(F426-G426)&lt;=0.01,"PASS","CHECK")</f>
        <v>PASS</v>
      </c>
    </row>
    <row r="427" customFormat="false" ht="15" hidden="false" customHeight="true" outlineLevel="0" collapsed="false">
      <c r="A427" s="1" t="s">
        <v>91</v>
      </c>
      <c r="B427" s="7" t="s">
        <v>204</v>
      </c>
      <c r="C427" s="1" t="s">
        <v>199</v>
      </c>
      <c r="D427" s="1" t="s">
        <v>180</v>
      </c>
      <c r="E427" s="1" t="s">
        <v>177</v>
      </c>
      <c r="F427" s="1" t="n">
        <v>30000</v>
      </c>
      <c r="G427" s="1" t="n">
        <v>30000</v>
      </c>
      <c r="H427" s="1" t="str">
        <f aca="false">IF(ABS(F427-G427)&lt;=0.01,"PASS","CHECK")</f>
        <v>PASS</v>
      </c>
    </row>
    <row r="428" customFormat="false" ht="15" hidden="false" customHeight="true" outlineLevel="0" collapsed="false">
      <c r="A428" s="1" t="s">
        <v>91</v>
      </c>
      <c r="B428" s="7" t="n">
        <v>46234</v>
      </c>
      <c r="C428" s="1" t="s">
        <v>184</v>
      </c>
      <c r="D428" s="1" t="s">
        <v>185</v>
      </c>
      <c r="E428" s="1" t="s">
        <v>178</v>
      </c>
      <c r="F428" s="1" t="n">
        <v>22916.43</v>
      </c>
      <c r="G428" s="1" t="n">
        <v>22916.43</v>
      </c>
      <c r="H428" s="1" t="str">
        <f aca="false">IF(ABS(F428-G428)&lt;=0.01,"PASS","CHECK")</f>
        <v>PASS</v>
      </c>
    </row>
    <row r="429" customFormat="false" ht="15" hidden="false" customHeight="true" outlineLevel="0" collapsed="false">
      <c r="A429" s="1" t="s">
        <v>91</v>
      </c>
      <c r="B429" s="7" t="n">
        <v>46234</v>
      </c>
      <c r="C429" s="1" t="s">
        <v>183</v>
      </c>
      <c r="D429" s="1" t="s">
        <v>178</v>
      </c>
      <c r="E429" s="1" t="s">
        <v>180</v>
      </c>
      <c r="F429" s="1" t="n">
        <v>80000</v>
      </c>
      <c r="G429" s="1" t="n">
        <v>80000</v>
      </c>
      <c r="H429" s="1" t="str">
        <f aca="false">IF(ABS(F429-G429)&lt;=0.01,"PASS","CHECK")</f>
        <v>PASS</v>
      </c>
    </row>
    <row r="430" customFormat="false" ht="15" hidden="false" customHeight="true" outlineLevel="0" collapsed="false">
      <c r="A430" s="1" t="s">
        <v>91</v>
      </c>
      <c r="B430" s="7" t="n">
        <v>46265</v>
      </c>
      <c r="C430" s="1" t="s">
        <v>184</v>
      </c>
      <c r="D430" s="1" t="s">
        <v>185</v>
      </c>
      <c r="E430" s="1" t="s">
        <v>178</v>
      </c>
      <c r="F430" s="1" t="n">
        <v>23286.07</v>
      </c>
      <c r="G430" s="1" t="n">
        <v>23286.07</v>
      </c>
      <c r="H430" s="1" t="str">
        <f aca="false">IF(ABS(F430-G430)&lt;=0.01,"PASS","CHECK")</f>
        <v>PASS</v>
      </c>
    </row>
    <row r="431" customFormat="false" ht="15" hidden="false" customHeight="true" outlineLevel="0" collapsed="false">
      <c r="A431" s="1" t="s">
        <v>91</v>
      </c>
      <c r="B431" s="7" t="n">
        <v>46265</v>
      </c>
      <c r="C431" s="1" t="s">
        <v>183</v>
      </c>
      <c r="D431" s="1" t="s">
        <v>178</v>
      </c>
      <c r="E431" s="1" t="s">
        <v>180</v>
      </c>
      <c r="F431" s="1" t="n">
        <v>80000</v>
      </c>
      <c r="G431" s="1" t="n">
        <v>80000</v>
      </c>
      <c r="H431" s="1" t="str">
        <f aca="false">IF(ABS(F431-G431)&lt;=0.01,"PASS","CHECK")</f>
        <v>PASS</v>
      </c>
    </row>
    <row r="432" customFormat="false" ht="15" hidden="false" customHeight="true" outlineLevel="0" collapsed="false">
      <c r="A432" s="1" t="s">
        <v>91</v>
      </c>
      <c r="B432" s="7" t="n">
        <v>46271</v>
      </c>
      <c r="C432" s="1" t="s">
        <v>200</v>
      </c>
      <c r="D432" s="1" t="s">
        <v>185</v>
      </c>
      <c r="E432" s="1" t="s">
        <v>178</v>
      </c>
      <c r="F432" s="1" t="n">
        <v>4418.29</v>
      </c>
      <c r="G432" s="1" t="n">
        <v>4418.29</v>
      </c>
      <c r="H432" s="1" t="str">
        <f aca="false">IF(ABS(F432-G432)&lt;=0.01,"PASS","CHECK")</f>
        <v>PASS</v>
      </c>
    </row>
    <row r="433" customFormat="false" ht="15" hidden="false" customHeight="true" outlineLevel="0" collapsed="false">
      <c r="A433" s="1" t="s">
        <v>91</v>
      </c>
      <c r="B433" s="7" t="n">
        <v>46204</v>
      </c>
      <c r="C433" s="1" t="s">
        <v>149</v>
      </c>
      <c r="D433" s="1" t="s">
        <v>186</v>
      </c>
      <c r="E433" s="1" t="s">
        <v>187</v>
      </c>
      <c r="F433" s="1" t="n">
        <v>72678.81</v>
      </c>
      <c r="G433" s="1" t="n">
        <v>72678.81</v>
      </c>
      <c r="H433" s="1" t="str">
        <f aca="false">IF(ABS(F433-G433)&lt;=0.01,"PASS","CHECK")</f>
        <v>PASS</v>
      </c>
    </row>
    <row r="434" customFormat="false" ht="15" hidden="false" customHeight="true" outlineLevel="0" collapsed="false">
      <c r="A434" s="1" t="s">
        <v>91</v>
      </c>
      <c r="B434" s="7" t="n">
        <v>46235</v>
      </c>
      <c r="C434" s="1" t="s">
        <v>149</v>
      </c>
      <c r="D434" s="1" t="s">
        <v>186</v>
      </c>
      <c r="E434" s="1" t="s">
        <v>187</v>
      </c>
      <c r="F434" s="1" t="n">
        <v>72678.81</v>
      </c>
      <c r="G434" s="1" t="n">
        <v>72678.81</v>
      </c>
      <c r="H434" s="1" t="str">
        <f aca="false">IF(ABS(F434-G434)&lt;=0.01,"PASS","CHECK")</f>
        <v>PASS</v>
      </c>
    </row>
    <row r="435" customFormat="false" ht="15" hidden="false" customHeight="true" outlineLevel="0" collapsed="false">
      <c r="A435" s="1" t="s">
        <v>91</v>
      </c>
      <c r="B435" s="7" t="n">
        <v>46266</v>
      </c>
      <c r="C435" s="1" t="s">
        <v>149</v>
      </c>
      <c r="D435" s="1" t="s">
        <v>186</v>
      </c>
      <c r="E435" s="1" t="s">
        <v>187</v>
      </c>
      <c r="F435" s="1" t="n">
        <v>72678.81</v>
      </c>
      <c r="G435" s="1" t="n">
        <v>72678.81</v>
      </c>
      <c r="H435" s="1" t="str">
        <f aca="false">IF(ABS(F435-G435)&lt;=0.01,"PASS","CHECK")</f>
        <v>PASS</v>
      </c>
    </row>
    <row r="436" customFormat="false" ht="15" hidden="false" customHeight="true" outlineLevel="0" collapsed="false">
      <c r="A436" s="1" t="s">
        <v>91</v>
      </c>
      <c r="B436" s="7" t="n">
        <v>46271</v>
      </c>
      <c r="C436" s="1" t="s">
        <v>192</v>
      </c>
      <c r="D436" s="1" t="s">
        <v>193</v>
      </c>
      <c r="E436" s="1" t="s">
        <v>182</v>
      </c>
      <c r="F436" s="1" t="n">
        <v>1501.02</v>
      </c>
      <c r="G436" s="1" t="n">
        <v>1501.02</v>
      </c>
      <c r="H436" s="1" t="str">
        <f aca="false">IF(ABS(F436-G436)&lt;=0.01,"PASS","CHECK")</f>
        <v>PASS</v>
      </c>
    </row>
    <row r="437" customFormat="false" ht="15" hidden="false" customHeight="true" outlineLevel="0" collapsed="false">
      <c r="A437" s="1" t="s">
        <v>94</v>
      </c>
      <c r="B437" s="7" t="s">
        <v>205</v>
      </c>
      <c r="C437" s="1" t="s">
        <v>176</v>
      </c>
      <c r="D437" s="1" t="s">
        <v>177</v>
      </c>
      <c r="E437" s="1" t="s">
        <v>178</v>
      </c>
      <c r="F437" s="1" t="n">
        <v>1927065.39</v>
      </c>
      <c r="G437" s="1" t="n">
        <v>1927065.39</v>
      </c>
      <c r="H437" s="1" t="str">
        <f aca="false">IF(ABS(F437-G437)&lt;=0.01,"PASS","CHECK")</f>
        <v>PASS</v>
      </c>
    </row>
    <row r="438" customFormat="false" ht="15" hidden="false" customHeight="true" outlineLevel="0" collapsed="false">
      <c r="A438" s="1" t="s">
        <v>94</v>
      </c>
      <c r="B438" s="7" t="s">
        <v>205</v>
      </c>
      <c r="C438" s="1" t="s">
        <v>181</v>
      </c>
      <c r="D438" s="1" t="s">
        <v>177</v>
      </c>
      <c r="E438" s="1" t="s">
        <v>182</v>
      </c>
      <c r="F438" s="1" t="n">
        <v>259972.55</v>
      </c>
      <c r="G438" s="1" t="n">
        <v>259972.55</v>
      </c>
      <c r="H438" s="1" t="str">
        <f aca="false">IF(ABS(F438-G438)&lt;=0.01,"PASS","CHECK")</f>
        <v>PASS</v>
      </c>
    </row>
    <row r="439" customFormat="false" ht="15" hidden="false" customHeight="true" outlineLevel="0" collapsed="false">
      <c r="A439" s="1" t="s">
        <v>94</v>
      </c>
      <c r="B439" s="7" t="n">
        <v>45566</v>
      </c>
      <c r="C439" s="1" t="s">
        <v>183</v>
      </c>
      <c r="D439" s="1" t="s">
        <v>178</v>
      </c>
      <c r="E439" s="1" t="s">
        <v>180</v>
      </c>
      <c r="F439" s="1" t="n">
        <v>200000</v>
      </c>
      <c r="G439" s="1" t="n">
        <v>200000</v>
      </c>
      <c r="H439" s="1" t="str">
        <f aca="false">IF(ABS(F439-G439)&lt;=0.01,"PASS","CHECK")</f>
        <v>PASS</v>
      </c>
    </row>
    <row r="440" customFormat="false" ht="15" hidden="false" customHeight="true" outlineLevel="0" collapsed="false">
      <c r="A440" s="1" t="s">
        <v>94</v>
      </c>
      <c r="B440" s="7" t="n">
        <v>45748</v>
      </c>
      <c r="C440" s="1" t="s">
        <v>184</v>
      </c>
      <c r="D440" s="1" t="s">
        <v>185</v>
      </c>
      <c r="E440" s="1" t="s">
        <v>178</v>
      </c>
      <c r="F440" s="1" t="n">
        <v>84059.59</v>
      </c>
      <c r="G440" s="1" t="n">
        <v>84059.59</v>
      </c>
      <c r="H440" s="1" t="str">
        <f aca="false">IF(ABS(F440-G440)&lt;=0.01,"PASS","CHECK")</f>
        <v>PASS</v>
      </c>
    </row>
    <row r="441" customFormat="false" ht="15" hidden="false" customHeight="true" outlineLevel="0" collapsed="false">
      <c r="A441" s="1" t="s">
        <v>94</v>
      </c>
      <c r="B441" s="7" t="n">
        <v>45748</v>
      </c>
      <c r="C441" s="1" t="s">
        <v>183</v>
      </c>
      <c r="D441" s="1" t="s">
        <v>178</v>
      </c>
      <c r="E441" s="1" t="s">
        <v>180</v>
      </c>
      <c r="F441" s="1" t="n">
        <v>200000</v>
      </c>
      <c r="G441" s="1" t="n">
        <v>200000</v>
      </c>
      <c r="H441" s="1" t="str">
        <f aca="false">IF(ABS(F441-G441)&lt;=0.01,"PASS","CHECK")</f>
        <v>PASS</v>
      </c>
    </row>
    <row r="442" customFormat="false" ht="15" hidden="false" customHeight="true" outlineLevel="0" collapsed="false">
      <c r="A442" s="1" t="s">
        <v>94</v>
      </c>
      <c r="B442" s="7" t="n">
        <v>45931</v>
      </c>
      <c r="C442" s="1" t="s">
        <v>184</v>
      </c>
      <c r="D442" s="1" t="s">
        <v>185</v>
      </c>
      <c r="E442" s="1" t="s">
        <v>178</v>
      </c>
      <c r="F442" s="1" t="n">
        <v>78857.79</v>
      </c>
      <c r="G442" s="1" t="n">
        <v>78857.79</v>
      </c>
      <c r="H442" s="1" t="str">
        <f aca="false">IF(ABS(F442-G442)&lt;=0.01,"PASS","CHECK")</f>
        <v>PASS</v>
      </c>
    </row>
    <row r="443" customFormat="false" ht="15" hidden="false" customHeight="true" outlineLevel="0" collapsed="false">
      <c r="A443" s="1" t="s">
        <v>94</v>
      </c>
      <c r="B443" s="7" t="n">
        <v>45931</v>
      </c>
      <c r="C443" s="1" t="s">
        <v>183</v>
      </c>
      <c r="D443" s="1" t="s">
        <v>178</v>
      </c>
      <c r="E443" s="1" t="s">
        <v>180</v>
      </c>
      <c r="F443" s="1" t="n">
        <v>210000</v>
      </c>
      <c r="G443" s="1" t="n">
        <v>210000</v>
      </c>
      <c r="H443" s="1" t="str">
        <f aca="false">IF(ABS(F443-G443)&lt;=0.01,"PASS","CHECK")</f>
        <v>PASS</v>
      </c>
    </row>
    <row r="444" customFormat="false" ht="15" hidden="false" customHeight="true" outlineLevel="0" collapsed="false">
      <c r="A444" s="1" t="s">
        <v>94</v>
      </c>
      <c r="B444" s="7" t="n">
        <v>46113</v>
      </c>
      <c r="C444" s="1" t="s">
        <v>184</v>
      </c>
      <c r="D444" s="1" t="s">
        <v>185</v>
      </c>
      <c r="E444" s="1" t="s">
        <v>178</v>
      </c>
      <c r="F444" s="1" t="n">
        <v>72033.61</v>
      </c>
      <c r="G444" s="1" t="n">
        <v>72033.61</v>
      </c>
      <c r="H444" s="1" t="str">
        <f aca="false">IF(ABS(F444-G444)&lt;=0.01,"PASS","CHECK")</f>
        <v>PASS</v>
      </c>
    </row>
    <row r="445" customFormat="false" ht="15" hidden="false" customHeight="true" outlineLevel="0" collapsed="false">
      <c r="A445" s="1" t="s">
        <v>94</v>
      </c>
      <c r="B445" s="7" t="n">
        <v>46113</v>
      </c>
      <c r="C445" s="1" t="s">
        <v>183</v>
      </c>
      <c r="D445" s="1" t="s">
        <v>178</v>
      </c>
      <c r="E445" s="1" t="s">
        <v>180</v>
      </c>
      <c r="F445" s="1" t="n">
        <v>240000</v>
      </c>
      <c r="G445" s="1" t="n">
        <v>240000</v>
      </c>
      <c r="H445" s="1" t="str">
        <f aca="false">IF(ABS(F445-G445)&lt;=0.01,"PASS","CHECK")</f>
        <v>PASS</v>
      </c>
    </row>
    <row r="446" customFormat="false" ht="15" hidden="false" customHeight="true" outlineLevel="0" collapsed="false">
      <c r="A446" s="1" t="s">
        <v>94</v>
      </c>
      <c r="B446" s="7" t="n">
        <v>46271</v>
      </c>
      <c r="C446" s="1" t="s">
        <v>200</v>
      </c>
      <c r="D446" s="1" t="s">
        <v>185</v>
      </c>
      <c r="E446" s="1" t="s">
        <v>178</v>
      </c>
      <c r="F446" s="1" t="n">
        <v>55262.76</v>
      </c>
      <c r="G446" s="1" t="n">
        <v>55262.76</v>
      </c>
      <c r="H446" s="1" t="str">
        <f aca="false">IF(ABS(F446-G446)&lt;=0.01,"PASS","CHECK")</f>
        <v>PASS</v>
      </c>
    </row>
    <row r="447" customFormat="false" ht="15" hidden="false" customHeight="true" outlineLevel="0" collapsed="false">
      <c r="A447" s="1" t="s">
        <v>94</v>
      </c>
      <c r="B447" s="7" t="n">
        <v>45566</v>
      </c>
      <c r="C447" s="1" t="s">
        <v>149</v>
      </c>
      <c r="D447" s="1" t="s">
        <v>186</v>
      </c>
      <c r="E447" s="1" t="s">
        <v>187</v>
      </c>
      <c r="F447" s="1" t="n">
        <v>37503.72</v>
      </c>
      <c r="G447" s="1" t="n">
        <v>37503.72</v>
      </c>
      <c r="H447" s="1" t="str">
        <f aca="false">IF(ABS(F447-G447)&lt;=0.01,"PASS","CHECK")</f>
        <v>PASS</v>
      </c>
    </row>
    <row r="448" customFormat="false" ht="15" hidden="false" customHeight="true" outlineLevel="0" collapsed="false">
      <c r="A448" s="1" t="s">
        <v>94</v>
      </c>
      <c r="B448" s="7" t="n">
        <v>45597</v>
      </c>
      <c r="C448" s="1" t="s">
        <v>149</v>
      </c>
      <c r="D448" s="1" t="s">
        <v>186</v>
      </c>
      <c r="E448" s="1" t="s">
        <v>187</v>
      </c>
      <c r="F448" s="1" t="n">
        <v>37503.72</v>
      </c>
      <c r="G448" s="1" t="n">
        <v>37503.72</v>
      </c>
      <c r="H448" s="1" t="str">
        <f aca="false">IF(ABS(F448-G448)&lt;=0.01,"PASS","CHECK")</f>
        <v>PASS</v>
      </c>
    </row>
    <row r="449" customFormat="false" ht="15" hidden="false" customHeight="true" outlineLevel="0" collapsed="false">
      <c r="A449" s="1" t="s">
        <v>94</v>
      </c>
      <c r="B449" s="7" t="n">
        <v>45627</v>
      </c>
      <c r="C449" s="1" t="s">
        <v>149</v>
      </c>
      <c r="D449" s="1" t="s">
        <v>186</v>
      </c>
      <c r="E449" s="1" t="s">
        <v>187</v>
      </c>
      <c r="F449" s="1" t="n">
        <v>37503.72</v>
      </c>
      <c r="G449" s="1" t="n">
        <v>37503.72</v>
      </c>
      <c r="H449" s="1" t="str">
        <f aca="false">IF(ABS(F449-G449)&lt;=0.01,"PASS","CHECK")</f>
        <v>PASS</v>
      </c>
    </row>
    <row r="450" customFormat="false" ht="15" hidden="false" customHeight="true" outlineLevel="0" collapsed="false">
      <c r="A450" s="1" t="s">
        <v>94</v>
      </c>
      <c r="B450" s="7" t="n">
        <v>45658</v>
      </c>
      <c r="C450" s="1" t="s">
        <v>149</v>
      </c>
      <c r="D450" s="1" t="s">
        <v>186</v>
      </c>
      <c r="E450" s="1" t="s">
        <v>187</v>
      </c>
      <c r="F450" s="1" t="n">
        <v>37503.72</v>
      </c>
      <c r="G450" s="1" t="n">
        <v>37503.72</v>
      </c>
      <c r="H450" s="1" t="str">
        <f aca="false">IF(ABS(F450-G450)&lt;=0.01,"PASS","CHECK")</f>
        <v>PASS</v>
      </c>
    </row>
    <row r="451" customFormat="false" ht="15" hidden="false" customHeight="true" outlineLevel="0" collapsed="false">
      <c r="A451" s="1" t="s">
        <v>94</v>
      </c>
      <c r="B451" s="7" t="n">
        <v>45689</v>
      </c>
      <c r="C451" s="1" t="s">
        <v>149</v>
      </c>
      <c r="D451" s="1" t="s">
        <v>186</v>
      </c>
      <c r="E451" s="1" t="s">
        <v>187</v>
      </c>
      <c r="F451" s="1" t="n">
        <v>37503.72</v>
      </c>
      <c r="G451" s="1" t="n">
        <v>37503.72</v>
      </c>
      <c r="H451" s="1" t="str">
        <f aca="false">IF(ABS(F451-G451)&lt;=0.01,"PASS","CHECK")</f>
        <v>PASS</v>
      </c>
    </row>
    <row r="452" customFormat="false" ht="15" hidden="false" customHeight="true" outlineLevel="0" collapsed="false">
      <c r="A452" s="1" t="s">
        <v>94</v>
      </c>
      <c r="B452" s="7" t="n">
        <v>45717</v>
      </c>
      <c r="C452" s="1" t="s">
        <v>149</v>
      </c>
      <c r="D452" s="1" t="s">
        <v>186</v>
      </c>
      <c r="E452" s="1" t="s">
        <v>187</v>
      </c>
      <c r="F452" s="1" t="n">
        <v>37503.72</v>
      </c>
      <c r="G452" s="1" t="n">
        <v>37503.72</v>
      </c>
      <c r="H452" s="1" t="str">
        <f aca="false">IF(ABS(F452-G452)&lt;=0.01,"PASS","CHECK")</f>
        <v>PASS</v>
      </c>
    </row>
    <row r="453" customFormat="false" ht="15" hidden="false" customHeight="true" outlineLevel="0" collapsed="false">
      <c r="A453" s="1" t="s">
        <v>94</v>
      </c>
      <c r="B453" s="7" t="n">
        <v>45748</v>
      </c>
      <c r="C453" s="1" t="s">
        <v>149</v>
      </c>
      <c r="D453" s="1" t="s">
        <v>186</v>
      </c>
      <c r="E453" s="1" t="s">
        <v>187</v>
      </c>
      <c r="F453" s="1" t="n">
        <v>37503.72</v>
      </c>
      <c r="G453" s="1" t="n">
        <v>37503.72</v>
      </c>
      <c r="H453" s="1" t="str">
        <f aca="false">IF(ABS(F453-G453)&lt;=0.01,"PASS","CHECK")</f>
        <v>PASS</v>
      </c>
    </row>
    <row r="454" customFormat="false" ht="15" hidden="false" customHeight="true" outlineLevel="0" collapsed="false">
      <c r="A454" s="1" t="s">
        <v>94</v>
      </c>
      <c r="B454" s="7" t="n">
        <v>45778</v>
      </c>
      <c r="C454" s="1" t="s">
        <v>149</v>
      </c>
      <c r="D454" s="1" t="s">
        <v>186</v>
      </c>
      <c r="E454" s="1" t="s">
        <v>187</v>
      </c>
      <c r="F454" s="1" t="n">
        <v>37503.72</v>
      </c>
      <c r="G454" s="1" t="n">
        <v>37503.72</v>
      </c>
      <c r="H454" s="1" t="str">
        <f aca="false">IF(ABS(F454-G454)&lt;=0.01,"PASS","CHECK")</f>
        <v>PASS</v>
      </c>
    </row>
    <row r="455" customFormat="false" ht="15" hidden="false" customHeight="true" outlineLevel="0" collapsed="false">
      <c r="A455" s="1" t="s">
        <v>94</v>
      </c>
      <c r="B455" s="7" t="n">
        <v>45809</v>
      </c>
      <c r="C455" s="1" t="s">
        <v>149</v>
      </c>
      <c r="D455" s="1" t="s">
        <v>186</v>
      </c>
      <c r="E455" s="1" t="s">
        <v>187</v>
      </c>
      <c r="F455" s="1" t="n">
        <v>37503.72</v>
      </c>
      <c r="G455" s="1" t="n">
        <v>37503.72</v>
      </c>
      <c r="H455" s="1" t="str">
        <f aca="false">IF(ABS(F455-G455)&lt;=0.01,"PASS","CHECK")</f>
        <v>PASS</v>
      </c>
    </row>
    <row r="456" customFormat="false" ht="15" hidden="false" customHeight="true" outlineLevel="0" collapsed="false">
      <c r="A456" s="1" t="s">
        <v>94</v>
      </c>
      <c r="B456" s="7" t="n">
        <v>45839</v>
      </c>
      <c r="C456" s="1" t="s">
        <v>149</v>
      </c>
      <c r="D456" s="1" t="s">
        <v>186</v>
      </c>
      <c r="E456" s="1" t="s">
        <v>187</v>
      </c>
      <c r="F456" s="1" t="n">
        <v>37503.72</v>
      </c>
      <c r="G456" s="1" t="n">
        <v>37503.72</v>
      </c>
      <c r="H456" s="1" t="str">
        <f aca="false">IF(ABS(F456-G456)&lt;=0.01,"PASS","CHECK")</f>
        <v>PASS</v>
      </c>
    </row>
    <row r="457" customFormat="false" ht="15" hidden="false" customHeight="true" outlineLevel="0" collapsed="false">
      <c r="A457" s="1" t="s">
        <v>94</v>
      </c>
      <c r="B457" s="7" t="n">
        <v>45870</v>
      </c>
      <c r="C457" s="1" t="s">
        <v>149</v>
      </c>
      <c r="D457" s="1" t="s">
        <v>186</v>
      </c>
      <c r="E457" s="1" t="s">
        <v>187</v>
      </c>
      <c r="F457" s="1" t="n">
        <v>37503.72</v>
      </c>
      <c r="G457" s="1" t="n">
        <v>37503.72</v>
      </c>
      <c r="H457" s="1" t="str">
        <f aca="false">IF(ABS(F457-G457)&lt;=0.01,"PASS","CHECK")</f>
        <v>PASS</v>
      </c>
    </row>
    <row r="458" customFormat="false" ht="15" hidden="false" customHeight="true" outlineLevel="0" collapsed="false">
      <c r="A458" s="1" t="s">
        <v>94</v>
      </c>
      <c r="B458" s="7" t="n">
        <v>45901</v>
      </c>
      <c r="C458" s="1" t="s">
        <v>149</v>
      </c>
      <c r="D458" s="1" t="s">
        <v>186</v>
      </c>
      <c r="E458" s="1" t="s">
        <v>187</v>
      </c>
      <c r="F458" s="1" t="n">
        <v>37503.72</v>
      </c>
      <c r="G458" s="1" t="n">
        <v>37503.72</v>
      </c>
      <c r="H458" s="1" t="str">
        <f aca="false">IF(ABS(F458-G458)&lt;=0.01,"PASS","CHECK")</f>
        <v>PASS</v>
      </c>
    </row>
    <row r="459" customFormat="false" ht="15" hidden="false" customHeight="true" outlineLevel="0" collapsed="false">
      <c r="A459" s="1" t="s">
        <v>94</v>
      </c>
      <c r="B459" s="7" t="n">
        <v>45931</v>
      </c>
      <c r="C459" s="1" t="s">
        <v>149</v>
      </c>
      <c r="D459" s="1" t="s">
        <v>186</v>
      </c>
      <c r="E459" s="1" t="s">
        <v>187</v>
      </c>
      <c r="F459" s="1" t="n">
        <v>37503.72</v>
      </c>
      <c r="G459" s="1" t="n">
        <v>37503.72</v>
      </c>
      <c r="H459" s="1" t="str">
        <f aca="false">IF(ABS(F459-G459)&lt;=0.01,"PASS","CHECK")</f>
        <v>PASS</v>
      </c>
    </row>
    <row r="460" customFormat="false" ht="15" hidden="false" customHeight="true" outlineLevel="0" collapsed="false">
      <c r="A460" s="1" t="s">
        <v>94</v>
      </c>
      <c r="B460" s="7" t="n">
        <v>45962</v>
      </c>
      <c r="C460" s="1" t="s">
        <v>149</v>
      </c>
      <c r="D460" s="1" t="s">
        <v>186</v>
      </c>
      <c r="E460" s="1" t="s">
        <v>187</v>
      </c>
      <c r="F460" s="1" t="n">
        <v>37503.72</v>
      </c>
      <c r="G460" s="1" t="n">
        <v>37503.72</v>
      </c>
      <c r="H460" s="1" t="str">
        <f aca="false">IF(ABS(F460-G460)&lt;=0.01,"PASS","CHECK")</f>
        <v>PASS</v>
      </c>
    </row>
    <row r="461" customFormat="false" ht="15" hidden="false" customHeight="true" outlineLevel="0" collapsed="false">
      <c r="A461" s="1" t="s">
        <v>94</v>
      </c>
      <c r="B461" s="7" t="n">
        <v>45992</v>
      </c>
      <c r="C461" s="1" t="s">
        <v>149</v>
      </c>
      <c r="D461" s="1" t="s">
        <v>186</v>
      </c>
      <c r="E461" s="1" t="s">
        <v>187</v>
      </c>
      <c r="F461" s="1" t="n">
        <v>37503.72</v>
      </c>
      <c r="G461" s="1" t="n">
        <v>37503.72</v>
      </c>
      <c r="H461" s="1" t="str">
        <f aca="false">IF(ABS(F461-G461)&lt;=0.01,"PASS","CHECK")</f>
        <v>PASS</v>
      </c>
    </row>
    <row r="462" customFormat="false" ht="15" hidden="false" customHeight="true" outlineLevel="0" collapsed="false">
      <c r="A462" s="1" t="s">
        <v>94</v>
      </c>
      <c r="B462" s="7" t="n">
        <v>46023</v>
      </c>
      <c r="C462" s="1" t="s">
        <v>149</v>
      </c>
      <c r="D462" s="1" t="s">
        <v>186</v>
      </c>
      <c r="E462" s="1" t="s">
        <v>187</v>
      </c>
      <c r="F462" s="1" t="n">
        <v>37503.72</v>
      </c>
      <c r="G462" s="1" t="n">
        <v>37503.72</v>
      </c>
      <c r="H462" s="1" t="str">
        <f aca="false">IF(ABS(F462-G462)&lt;=0.01,"PASS","CHECK")</f>
        <v>PASS</v>
      </c>
    </row>
    <row r="463" customFormat="false" ht="15" hidden="false" customHeight="true" outlineLevel="0" collapsed="false">
      <c r="A463" s="1" t="s">
        <v>94</v>
      </c>
      <c r="B463" s="7" t="n">
        <v>46054</v>
      </c>
      <c r="C463" s="1" t="s">
        <v>149</v>
      </c>
      <c r="D463" s="1" t="s">
        <v>186</v>
      </c>
      <c r="E463" s="1" t="s">
        <v>187</v>
      </c>
      <c r="F463" s="1" t="n">
        <v>37503.72</v>
      </c>
      <c r="G463" s="1" t="n">
        <v>37503.72</v>
      </c>
      <c r="H463" s="1" t="str">
        <f aca="false">IF(ABS(F463-G463)&lt;=0.01,"PASS","CHECK")</f>
        <v>PASS</v>
      </c>
    </row>
    <row r="464" customFormat="false" ht="15" hidden="false" customHeight="true" outlineLevel="0" collapsed="false">
      <c r="A464" s="1" t="s">
        <v>94</v>
      </c>
      <c r="B464" s="7" t="n">
        <v>46082</v>
      </c>
      <c r="C464" s="1" t="s">
        <v>149</v>
      </c>
      <c r="D464" s="1" t="s">
        <v>186</v>
      </c>
      <c r="E464" s="1" t="s">
        <v>187</v>
      </c>
      <c r="F464" s="1" t="n">
        <v>37503.72</v>
      </c>
      <c r="G464" s="1" t="n">
        <v>37503.72</v>
      </c>
      <c r="H464" s="1" t="str">
        <f aca="false">IF(ABS(F464-G464)&lt;=0.01,"PASS","CHECK")</f>
        <v>PASS</v>
      </c>
    </row>
    <row r="465" customFormat="false" ht="15" hidden="false" customHeight="true" outlineLevel="0" collapsed="false">
      <c r="A465" s="1" t="s">
        <v>94</v>
      </c>
      <c r="B465" s="7" t="n">
        <v>46113</v>
      </c>
      <c r="C465" s="1" t="s">
        <v>149</v>
      </c>
      <c r="D465" s="1" t="s">
        <v>186</v>
      </c>
      <c r="E465" s="1" t="s">
        <v>187</v>
      </c>
      <c r="F465" s="1" t="n">
        <v>37503.72</v>
      </c>
      <c r="G465" s="1" t="n">
        <v>37503.72</v>
      </c>
      <c r="H465" s="1" t="str">
        <f aca="false">IF(ABS(F465-G465)&lt;=0.01,"PASS","CHECK")</f>
        <v>PASS</v>
      </c>
    </row>
    <row r="466" customFormat="false" ht="15" hidden="false" customHeight="true" outlineLevel="0" collapsed="false">
      <c r="A466" s="1" t="s">
        <v>94</v>
      </c>
      <c r="B466" s="7" t="n">
        <v>46143</v>
      </c>
      <c r="C466" s="1" t="s">
        <v>149</v>
      </c>
      <c r="D466" s="1" t="s">
        <v>186</v>
      </c>
      <c r="E466" s="1" t="s">
        <v>187</v>
      </c>
      <c r="F466" s="1" t="n">
        <v>37503.72</v>
      </c>
      <c r="G466" s="1" t="n">
        <v>37503.72</v>
      </c>
      <c r="H466" s="1" t="str">
        <f aca="false">IF(ABS(F466-G466)&lt;=0.01,"PASS","CHECK")</f>
        <v>PASS</v>
      </c>
    </row>
    <row r="467" customFormat="false" ht="15" hidden="false" customHeight="true" outlineLevel="0" collapsed="false">
      <c r="A467" s="1" t="s">
        <v>94</v>
      </c>
      <c r="B467" s="7" t="n">
        <v>46174</v>
      </c>
      <c r="C467" s="1" t="s">
        <v>149</v>
      </c>
      <c r="D467" s="1" t="s">
        <v>186</v>
      </c>
      <c r="E467" s="1" t="s">
        <v>187</v>
      </c>
      <c r="F467" s="1" t="n">
        <v>37503.72</v>
      </c>
      <c r="G467" s="1" t="n">
        <v>37503.72</v>
      </c>
      <c r="H467" s="1" t="str">
        <f aca="false">IF(ABS(F467-G467)&lt;=0.01,"PASS","CHECK")</f>
        <v>PASS</v>
      </c>
    </row>
    <row r="468" customFormat="false" ht="15" hidden="false" customHeight="true" outlineLevel="0" collapsed="false">
      <c r="A468" s="1" t="s">
        <v>94</v>
      </c>
      <c r="B468" s="7" t="n">
        <v>46204</v>
      </c>
      <c r="C468" s="1" t="s">
        <v>149</v>
      </c>
      <c r="D468" s="1" t="s">
        <v>186</v>
      </c>
      <c r="E468" s="1" t="s">
        <v>187</v>
      </c>
      <c r="F468" s="1" t="n">
        <v>37503.72</v>
      </c>
      <c r="G468" s="1" t="n">
        <v>37503.72</v>
      </c>
      <c r="H468" s="1" t="str">
        <f aca="false">IF(ABS(F468-G468)&lt;=0.01,"PASS","CHECK")</f>
        <v>PASS</v>
      </c>
    </row>
    <row r="469" customFormat="false" ht="15" hidden="false" customHeight="true" outlineLevel="0" collapsed="false">
      <c r="A469" s="1" t="s">
        <v>94</v>
      </c>
      <c r="B469" s="7" t="n">
        <v>46235</v>
      </c>
      <c r="C469" s="1" t="s">
        <v>149</v>
      </c>
      <c r="D469" s="1" t="s">
        <v>186</v>
      </c>
      <c r="E469" s="1" t="s">
        <v>187</v>
      </c>
      <c r="F469" s="1" t="n">
        <v>37503.72</v>
      </c>
      <c r="G469" s="1" t="n">
        <v>37503.72</v>
      </c>
      <c r="H469" s="1" t="str">
        <f aca="false">IF(ABS(F469-G469)&lt;=0.01,"PASS","CHECK")</f>
        <v>PASS</v>
      </c>
    </row>
    <row r="470" customFormat="false" ht="15" hidden="false" customHeight="true" outlineLevel="0" collapsed="false">
      <c r="A470" s="1" t="s">
        <v>94</v>
      </c>
      <c r="B470" s="7" t="n">
        <v>46266</v>
      </c>
      <c r="C470" s="1" t="s">
        <v>149</v>
      </c>
      <c r="D470" s="1" t="s">
        <v>186</v>
      </c>
      <c r="E470" s="1" t="s">
        <v>187</v>
      </c>
      <c r="F470" s="1" t="n">
        <v>37503.72</v>
      </c>
      <c r="G470" s="1" t="n">
        <v>37503.72</v>
      </c>
      <c r="H470" s="1" t="str">
        <f aca="false">IF(ABS(F470-G470)&lt;=0.01,"PASS","CHECK")</f>
        <v>PASS</v>
      </c>
    </row>
    <row r="471" customFormat="false" ht="15" hidden="false" customHeight="true" outlineLevel="0" collapsed="false">
      <c r="A471" s="1" t="s">
        <v>94</v>
      </c>
      <c r="B471" s="7" t="s">
        <v>205</v>
      </c>
      <c r="C471" s="1" t="s">
        <v>188</v>
      </c>
      <c r="D471" s="1" t="s">
        <v>189</v>
      </c>
      <c r="E471" s="1" t="s">
        <v>180</v>
      </c>
      <c r="F471" s="1" t="n">
        <v>186814.54</v>
      </c>
      <c r="G471" s="1" t="n">
        <v>186814.54</v>
      </c>
      <c r="H471" s="1" t="str">
        <f aca="false">IF(ABS(F471-G471)&lt;=0.01,"PASS","CHECK")</f>
        <v>PASS</v>
      </c>
    </row>
    <row r="472" customFormat="false" ht="15" hidden="false" customHeight="true" outlineLevel="0" collapsed="false">
      <c r="A472" s="1" t="s">
        <v>94</v>
      </c>
      <c r="B472" s="7" t="s">
        <v>205</v>
      </c>
      <c r="C472" s="1" t="s">
        <v>190</v>
      </c>
      <c r="D472" s="1" t="s">
        <v>177</v>
      </c>
      <c r="E472" s="1" t="s">
        <v>180</v>
      </c>
      <c r="F472" s="1" t="n">
        <v>63185.46</v>
      </c>
      <c r="G472" s="1" t="n">
        <v>63185.46</v>
      </c>
      <c r="H472" s="1" t="str">
        <f aca="false">IF(ABS(F472-G472)&lt;=0.01,"PASS","CHECK")</f>
        <v>PASS</v>
      </c>
    </row>
    <row r="473" customFormat="false" ht="15" hidden="false" customHeight="true" outlineLevel="0" collapsed="false">
      <c r="A473" s="1" t="s">
        <v>94</v>
      </c>
      <c r="B473" s="7" t="n">
        <v>45597</v>
      </c>
      <c r="C473" s="1" t="s">
        <v>191</v>
      </c>
      <c r="D473" s="1" t="s">
        <v>189</v>
      </c>
      <c r="E473" s="1" t="s">
        <v>156</v>
      </c>
      <c r="F473" s="1" t="n">
        <v>926.81</v>
      </c>
      <c r="G473" s="1" t="n">
        <v>926.81</v>
      </c>
      <c r="H473" s="1" t="str">
        <f aca="false">IF(ABS(F473-G473)&lt;=0.01,"PASS","CHECK")</f>
        <v>PASS</v>
      </c>
    </row>
    <row r="474" customFormat="false" ht="15" hidden="false" customHeight="true" outlineLevel="0" collapsed="false">
      <c r="A474" s="1" t="s">
        <v>94</v>
      </c>
      <c r="B474" s="7" t="n">
        <v>45627</v>
      </c>
      <c r="C474" s="1" t="s">
        <v>191</v>
      </c>
      <c r="D474" s="1" t="s">
        <v>189</v>
      </c>
      <c r="E474" s="1" t="s">
        <v>156</v>
      </c>
      <c r="F474" s="1" t="n">
        <v>901.29</v>
      </c>
      <c r="G474" s="1" t="n">
        <v>901.29</v>
      </c>
      <c r="H474" s="1" t="str">
        <f aca="false">IF(ABS(F474-G474)&lt;=0.01,"PASS","CHECK")</f>
        <v>PASS</v>
      </c>
    </row>
    <row r="475" customFormat="false" ht="15" hidden="false" customHeight="true" outlineLevel="0" collapsed="false">
      <c r="A475" s="1" t="s">
        <v>94</v>
      </c>
      <c r="B475" s="7" t="n">
        <v>45658</v>
      </c>
      <c r="C475" s="1" t="s">
        <v>191</v>
      </c>
      <c r="D475" s="1" t="s">
        <v>189</v>
      </c>
      <c r="E475" s="1" t="s">
        <v>156</v>
      </c>
      <c r="F475" s="1" t="n">
        <v>935.88</v>
      </c>
      <c r="G475" s="1" t="n">
        <v>935.88</v>
      </c>
      <c r="H475" s="1" t="str">
        <f aca="false">IF(ABS(F475-G475)&lt;=0.01,"PASS","CHECK")</f>
        <v>PASS</v>
      </c>
    </row>
    <row r="476" customFormat="false" ht="15" hidden="false" customHeight="true" outlineLevel="0" collapsed="false">
      <c r="A476" s="1" t="s">
        <v>94</v>
      </c>
      <c r="B476" s="7" t="n">
        <v>45689</v>
      </c>
      <c r="C476" s="1" t="s">
        <v>191</v>
      </c>
      <c r="D476" s="1" t="s">
        <v>189</v>
      </c>
      <c r="E476" s="1" t="s">
        <v>156</v>
      </c>
      <c r="F476" s="1" t="n">
        <v>940.52</v>
      </c>
      <c r="G476" s="1" t="n">
        <v>940.52</v>
      </c>
      <c r="H476" s="1" t="str">
        <f aca="false">IF(ABS(F476-G476)&lt;=0.01,"PASS","CHECK")</f>
        <v>PASS</v>
      </c>
    </row>
    <row r="477" customFormat="false" ht="15" hidden="false" customHeight="true" outlineLevel="0" collapsed="false">
      <c r="A477" s="1" t="s">
        <v>94</v>
      </c>
      <c r="B477" s="7" t="n">
        <v>45717</v>
      </c>
      <c r="C477" s="1" t="s">
        <v>191</v>
      </c>
      <c r="D477" s="1" t="s">
        <v>189</v>
      </c>
      <c r="E477" s="1" t="s">
        <v>156</v>
      </c>
      <c r="F477" s="1" t="n">
        <v>853.52</v>
      </c>
      <c r="G477" s="1" t="n">
        <v>853.52</v>
      </c>
      <c r="H477" s="1" t="str">
        <f aca="false">IF(ABS(F477-G477)&lt;=0.01,"PASS","CHECK")</f>
        <v>PASS</v>
      </c>
    </row>
    <row r="478" customFormat="false" ht="15" hidden="false" customHeight="true" outlineLevel="0" collapsed="false">
      <c r="A478" s="1" t="s">
        <v>94</v>
      </c>
      <c r="B478" s="7" t="n">
        <v>45748</v>
      </c>
      <c r="C478" s="1" t="s">
        <v>191</v>
      </c>
      <c r="D478" s="1" t="s">
        <v>189</v>
      </c>
      <c r="E478" s="1" t="s">
        <v>156</v>
      </c>
      <c r="F478" s="1" t="n">
        <v>949.42</v>
      </c>
      <c r="G478" s="1" t="n">
        <v>949.42</v>
      </c>
      <c r="H478" s="1" t="str">
        <f aca="false">IF(ABS(F478-G478)&lt;=0.01,"PASS","CHECK")</f>
        <v>PASS</v>
      </c>
    </row>
    <row r="479" customFormat="false" ht="15" hidden="false" customHeight="true" outlineLevel="0" collapsed="false">
      <c r="A479" s="1" t="s">
        <v>94</v>
      </c>
      <c r="B479" s="7" t="n">
        <v>45778</v>
      </c>
      <c r="C479" s="1" t="s">
        <v>191</v>
      </c>
      <c r="D479" s="1" t="s">
        <v>189</v>
      </c>
      <c r="E479" s="1" t="s">
        <v>156</v>
      </c>
      <c r="F479" s="1" t="n">
        <v>923.28</v>
      </c>
      <c r="G479" s="1" t="n">
        <v>923.28</v>
      </c>
      <c r="H479" s="1" t="str">
        <f aca="false">IF(ABS(F479-G479)&lt;=0.01,"PASS","CHECK")</f>
        <v>PASS</v>
      </c>
    </row>
    <row r="480" customFormat="false" ht="15" hidden="false" customHeight="true" outlineLevel="0" collapsed="false">
      <c r="A480" s="1" t="s">
        <v>94</v>
      </c>
      <c r="B480" s="7" t="n">
        <v>45809</v>
      </c>
      <c r="C480" s="1" t="s">
        <v>191</v>
      </c>
      <c r="D480" s="1" t="s">
        <v>189</v>
      </c>
      <c r="E480" s="1" t="s">
        <v>156</v>
      </c>
      <c r="F480" s="1" t="n">
        <v>958.72</v>
      </c>
      <c r="G480" s="1" t="n">
        <v>958.72</v>
      </c>
      <c r="H480" s="1" t="str">
        <f aca="false">IF(ABS(F480-G480)&lt;=0.01,"PASS","CHECK")</f>
        <v>PASS</v>
      </c>
    </row>
    <row r="481" customFormat="false" ht="15" hidden="false" customHeight="true" outlineLevel="0" collapsed="false">
      <c r="A481" s="1" t="s">
        <v>94</v>
      </c>
      <c r="B481" s="7" t="n">
        <v>45839</v>
      </c>
      <c r="C481" s="1" t="s">
        <v>191</v>
      </c>
      <c r="D481" s="1" t="s">
        <v>189</v>
      </c>
      <c r="E481" s="1" t="s">
        <v>156</v>
      </c>
      <c r="F481" s="1" t="n">
        <v>932.32</v>
      </c>
      <c r="G481" s="1" t="n">
        <v>932.32</v>
      </c>
      <c r="H481" s="1" t="str">
        <f aca="false">IF(ABS(F481-G481)&lt;=0.01,"PASS","CHECK")</f>
        <v>PASS</v>
      </c>
    </row>
    <row r="482" customFormat="false" ht="15" hidden="false" customHeight="true" outlineLevel="0" collapsed="false">
      <c r="A482" s="1" t="s">
        <v>94</v>
      </c>
      <c r="B482" s="7" t="n">
        <v>45870</v>
      </c>
      <c r="C482" s="1" t="s">
        <v>191</v>
      </c>
      <c r="D482" s="1" t="s">
        <v>189</v>
      </c>
      <c r="E482" s="1" t="s">
        <v>156</v>
      </c>
      <c r="F482" s="1" t="n">
        <v>968.1</v>
      </c>
      <c r="G482" s="1" t="n">
        <v>968.1</v>
      </c>
      <c r="H482" s="1" t="str">
        <f aca="false">IF(ABS(F482-G482)&lt;=0.01,"PASS","CHECK")</f>
        <v>PASS</v>
      </c>
    </row>
    <row r="483" customFormat="false" ht="15" hidden="false" customHeight="true" outlineLevel="0" collapsed="false">
      <c r="A483" s="1" t="s">
        <v>94</v>
      </c>
      <c r="B483" s="7" t="n">
        <v>45901</v>
      </c>
      <c r="C483" s="1" t="s">
        <v>191</v>
      </c>
      <c r="D483" s="1" t="s">
        <v>189</v>
      </c>
      <c r="E483" s="1" t="s">
        <v>156</v>
      </c>
      <c r="F483" s="1" t="n">
        <v>972.9</v>
      </c>
      <c r="G483" s="1" t="n">
        <v>972.9</v>
      </c>
      <c r="H483" s="1" t="str">
        <f aca="false">IF(ABS(F483-G483)&lt;=0.01,"PASS","CHECK")</f>
        <v>PASS</v>
      </c>
    </row>
    <row r="484" customFormat="false" ht="15" hidden="false" customHeight="true" outlineLevel="0" collapsed="false">
      <c r="A484" s="1" t="s">
        <v>94</v>
      </c>
      <c r="B484" s="7" t="n">
        <v>45931</v>
      </c>
      <c r="C484" s="1" t="s">
        <v>191</v>
      </c>
      <c r="D484" s="1" t="s">
        <v>189</v>
      </c>
      <c r="E484" s="1" t="s">
        <v>156</v>
      </c>
      <c r="F484" s="1" t="n">
        <v>946.11</v>
      </c>
      <c r="G484" s="1" t="n">
        <v>946.11</v>
      </c>
      <c r="H484" s="1" t="str">
        <f aca="false">IF(ABS(F484-G484)&lt;=0.01,"PASS","CHECK")</f>
        <v>PASS</v>
      </c>
    </row>
    <row r="485" customFormat="false" ht="15" hidden="false" customHeight="true" outlineLevel="0" collapsed="false">
      <c r="A485" s="1" t="s">
        <v>94</v>
      </c>
      <c r="B485" s="7" t="n">
        <v>45962</v>
      </c>
      <c r="C485" s="1" t="s">
        <v>191</v>
      </c>
      <c r="D485" s="1" t="s">
        <v>189</v>
      </c>
      <c r="E485" s="1" t="s">
        <v>156</v>
      </c>
      <c r="F485" s="1" t="n">
        <v>982.42</v>
      </c>
      <c r="G485" s="1" t="n">
        <v>982.42</v>
      </c>
      <c r="H485" s="1" t="str">
        <f aca="false">IF(ABS(F485-G485)&lt;=0.01,"PASS","CHECK")</f>
        <v>PASS</v>
      </c>
    </row>
    <row r="486" customFormat="false" ht="15" hidden="false" customHeight="true" outlineLevel="0" collapsed="false">
      <c r="A486" s="1" t="s">
        <v>94</v>
      </c>
      <c r="B486" s="7" t="n">
        <v>45992</v>
      </c>
      <c r="C486" s="1" t="s">
        <v>191</v>
      </c>
      <c r="D486" s="1" t="s">
        <v>189</v>
      </c>
      <c r="E486" s="1" t="s">
        <v>156</v>
      </c>
      <c r="F486" s="1" t="n">
        <v>955.37</v>
      </c>
      <c r="G486" s="1" t="n">
        <v>955.37</v>
      </c>
      <c r="H486" s="1" t="str">
        <f aca="false">IF(ABS(F486-G486)&lt;=0.01,"PASS","CHECK")</f>
        <v>PASS</v>
      </c>
    </row>
    <row r="487" customFormat="false" ht="15" hidden="false" customHeight="true" outlineLevel="0" collapsed="false">
      <c r="A487" s="1" t="s">
        <v>94</v>
      </c>
      <c r="B487" s="7" t="n">
        <v>46023</v>
      </c>
      <c r="C487" s="1" t="s">
        <v>191</v>
      </c>
      <c r="D487" s="1" t="s">
        <v>189</v>
      </c>
      <c r="E487" s="1" t="s">
        <v>156</v>
      </c>
      <c r="F487" s="1" t="n">
        <v>992.03</v>
      </c>
      <c r="G487" s="1" t="n">
        <v>992.03</v>
      </c>
      <c r="H487" s="1" t="str">
        <f aca="false">IF(ABS(F487-G487)&lt;=0.01,"PASS","CHECK")</f>
        <v>PASS</v>
      </c>
    </row>
    <row r="488" customFormat="false" ht="15" hidden="false" customHeight="true" outlineLevel="0" collapsed="false">
      <c r="A488" s="1" t="s">
        <v>94</v>
      </c>
      <c r="B488" s="7" t="n">
        <v>46054</v>
      </c>
      <c r="C488" s="1" t="s">
        <v>191</v>
      </c>
      <c r="D488" s="1" t="s">
        <v>189</v>
      </c>
      <c r="E488" s="1" t="s">
        <v>156</v>
      </c>
      <c r="F488" s="1" t="n">
        <v>996.96</v>
      </c>
      <c r="G488" s="1" t="n">
        <v>996.96</v>
      </c>
      <c r="H488" s="1" t="str">
        <f aca="false">IF(ABS(F488-G488)&lt;=0.01,"PASS","CHECK")</f>
        <v>PASS</v>
      </c>
    </row>
    <row r="489" customFormat="false" ht="15" hidden="false" customHeight="true" outlineLevel="0" collapsed="false">
      <c r="A489" s="1" t="s">
        <v>94</v>
      </c>
      <c r="B489" s="7" t="n">
        <v>46082</v>
      </c>
      <c r="C489" s="1" t="s">
        <v>191</v>
      </c>
      <c r="D489" s="1" t="s">
        <v>189</v>
      </c>
      <c r="E489" s="1" t="s">
        <v>156</v>
      </c>
      <c r="F489" s="1" t="n">
        <v>904.73</v>
      </c>
      <c r="G489" s="1" t="n">
        <v>904.73</v>
      </c>
      <c r="H489" s="1" t="str">
        <f aca="false">IF(ABS(F489-G489)&lt;=0.01,"PASS","CHECK")</f>
        <v>PASS</v>
      </c>
    </row>
    <row r="490" customFormat="false" ht="15" hidden="false" customHeight="true" outlineLevel="0" collapsed="false">
      <c r="A490" s="1" t="s">
        <v>94</v>
      </c>
      <c r="B490" s="7" t="n">
        <v>46113</v>
      </c>
      <c r="C490" s="1" t="s">
        <v>191</v>
      </c>
      <c r="D490" s="1" t="s">
        <v>189</v>
      </c>
      <c r="E490" s="1" t="s">
        <v>156</v>
      </c>
      <c r="F490" s="1" t="n">
        <v>1006.39</v>
      </c>
      <c r="G490" s="1" t="n">
        <v>1006.39</v>
      </c>
      <c r="H490" s="1" t="str">
        <f aca="false">IF(ABS(F490-G490)&lt;=0.01,"PASS","CHECK")</f>
        <v>PASS</v>
      </c>
    </row>
    <row r="491" customFormat="false" ht="15" hidden="false" customHeight="true" outlineLevel="0" collapsed="false">
      <c r="A491" s="1" t="s">
        <v>94</v>
      </c>
      <c r="B491" s="7" t="n">
        <v>46143</v>
      </c>
      <c r="C491" s="1" t="s">
        <v>191</v>
      </c>
      <c r="D491" s="1" t="s">
        <v>189</v>
      </c>
      <c r="E491" s="1" t="s">
        <v>156</v>
      </c>
      <c r="F491" s="1" t="n">
        <v>978.68</v>
      </c>
      <c r="G491" s="1" t="n">
        <v>978.68</v>
      </c>
      <c r="H491" s="1" t="str">
        <f aca="false">IF(ABS(F491-G491)&lt;=0.01,"PASS","CHECK")</f>
        <v>PASS</v>
      </c>
    </row>
    <row r="492" customFormat="false" ht="15" hidden="false" customHeight="true" outlineLevel="0" collapsed="false">
      <c r="A492" s="1" t="s">
        <v>94</v>
      </c>
      <c r="B492" s="7" t="n">
        <v>46174</v>
      </c>
      <c r="C492" s="1" t="s">
        <v>191</v>
      </c>
      <c r="D492" s="1" t="s">
        <v>189</v>
      </c>
      <c r="E492" s="1" t="s">
        <v>156</v>
      </c>
      <c r="F492" s="1" t="n">
        <v>1016.24</v>
      </c>
      <c r="G492" s="1" t="n">
        <v>1016.24</v>
      </c>
      <c r="H492" s="1" t="str">
        <f aca="false">IF(ABS(F492-G492)&lt;=0.01,"PASS","CHECK")</f>
        <v>PASS</v>
      </c>
    </row>
    <row r="493" customFormat="false" ht="15" hidden="false" customHeight="true" outlineLevel="0" collapsed="false">
      <c r="A493" s="1" t="s">
        <v>94</v>
      </c>
      <c r="B493" s="7" t="n">
        <v>46204</v>
      </c>
      <c r="C493" s="1" t="s">
        <v>191</v>
      </c>
      <c r="D493" s="1" t="s">
        <v>189</v>
      </c>
      <c r="E493" s="1" t="s">
        <v>156</v>
      </c>
      <c r="F493" s="1" t="n">
        <v>988.26</v>
      </c>
      <c r="G493" s="1" t="n">
        <v>988.26</v>
      </c>
      <c r="H493" s="1" t="str">
        <f aca="false">IF(ABS(F493-G493)&lt;=0.01,"PASS","CHECK")</f>
        <v>PASS</v>
      </c>
    </row>
    <row r="494" customFormat="false" ht="15" hidden="false" customHeight="true" outlineLevel="0" collapsed="false">
      <c r="A494" s="1" t="s">
        <v>94</v>
      </c>
      <c r="B494" s="7" t="n">
        <v>46235</v>
      </c>
      <c r="C494" s="1" t="s">
        <v>191</v>
      </c>
      <c r="D494" s="1" t="s">
        <v>189</v>
      </c>
      <c r="E494" s="1" t="s">
        <v>156</v>
      </c>
      <c r="F494" s="1" t="n">
        <v>1026.18</v>
      </c>
      <c r="G494" s="1" t="n">
        <v>1026.18</v>
      </c>
      <c r="H494" s="1" t="str">
        <f aca="false">IF(ABS(F494-G494)&lt;=0.01,"PASS","CHECK")</f>
        <v>PASS</v>
      </c>
    </row>
    <row r="495" customFormat="false" ht="15" hidden="false" customHeight="true" outlineLevel="0" collapsed="false">
      <c r="A495" s="1" t="s">
        <v>94</v>
      </c>
      <c r="B495" s="7" t="n">
        <v>46266</v>
      </c>
      <c r="C495" s="1" t="s">
        <v>191</v>
      </c>
      <c r="D495" s="1" t="s">
        <v>189</v>
      </c>
      <c r="E495" s="1" t="s">
        <v>156</v>
      </c>
      <c r="F495" s="1" t="n">
        <v>1031.27</v>
      </c>
      <c r="G495" s="1" t="n">
        <v>1031.27</v>
      </c>
      <c r="H495" s="1" t="str">
        <f aca="false">IF(ABS(F495-G495)&lt;=0.01,"PASS","CHECK")</f>
        <v>PASS</v>
      </c>
    </row>
    <row r="496" customFormat="false" ht="15" hidden="false" customHeight="true" outlineLevel="0" collapsed="false">
      <c r="A496" s="1" t="s">
        <v>94</v>
      </c>
      <c r="B496" s="7" t="n">
        <v>46271</v>
      </c>
      <c r="C496" s="1" t="s">
        <v>191</v>
      </c>
      <c r="D496" s="1" t="s">
        <v>189</v>
      </c>
      <c r="E496" s="1" t="s">
        <v>156</v>
      </c>
      <c r="F496" s="1" t="n">
        <v>166.81</v>
      </c>
      <c r="G496" s="1" t="n">
        <v>166.81</v>
      </c>
      <c r="H496" s="1" t="str">
        <f aca="false">IF(ABS(F496-G496)&lt;=0.01,"PASS","CHECK")</f>
        <v>PASS</v>
      </c>
    </row>
    <row r="497" customFormat="false" ht="15" hidden="false" customHeight="true" outlineLevel="0" collapsed="false">
      <c r="A497" s="1" t="s">
        <v>94</v>
      </c>
      <c r="B497" s="7" t="n">
        <v>45931</v>
      </c>
      <c r="C497" s="1" t="s">
        <v>192</v>
      </c>
      <c r="D497" s="1" t="s">
        <v>193</v>
      </c>
      <c r="E497" s="1" t="s">
        <v>182</v>
      </c>
      <c r="F497" s="1" t="n">
        <v>23397.53</v>
      </c>
      <c r="G497" s="1" t="n">
        <v>23397.53</v>
      </c>
      <c r="H497" s="1" t="str">
        <f aca="false">IF(ABS(F497-G497)&lt;=0.01,"PASS","CHECK")</f>
        <v>PASS</v>
      </c>
    </row>
    <row r="498" customFormat="false" ht="15" hidden="false" customHeight="true" outlineLevel="0" collapsed="false">
      <c r="A498" s="1" t="s">
        <v>94</v>
      </c>
      <c r="B498" s="7" t="n">
        <v>46271</v>
      </c>
      <c r="C498" s="1" t="s">
        <v>192</v>
      </c>
      <c r="D498" s="1" t="s">
        <v>193</v>
      </c>
      <c r="E498" s="1" t="s">
        <v>182</v>
      </c>
      <c r="F498" s="1" t="n">
        <v>23685.53</v>
      </c>
      <c r="G498" s="1" t="n">
        <v>23685.53</v>
      </c>
      <c r="H498" s="1" t="str">
        <f aca="false">IF(ABS(F498-G498)&lt;=0.01,"PASS","CHECK")</f>
        <v>PASS</v>
      </c>
    </row>
    <row r="499" customFormat="false" ht="15" hidden="false" customHeight="true" outlineLevel="0" collapsed="false">
      <c r="A499" s="1" t="s">
        <v>94</v>
      </c>
      <c r="B499" s="7" t="n">
        <v>46271</v>
      </c>
      <c r="C499" s="1" t="s">
        <v>194</v>
      </c>
      <c r="D499" s="1" t="s">
        <v>195</v>
      </c>
      <c r="E499" s="1" t="s">
        <v>196</v>
      </c>
      <c r="F499" s="1" t="n">
        <v>3763.24</v>
      </c>
      <c r="G499" s="1" t="n">
        <v>3763.24</v>
      </c>
      <c r="H499" s="1" t="str">
        <f aca="false">IF(ABS(F499-G499)&lt;=0.01,"PASS","CHECK")</f>
        <v>PASS</v>
      </c>
    </row>
    <row r="500" customFormat="false" ht="15" hidden="false" customHeight="true" outlineLevel="0" collapsed="false">
      <c r="A500" s="1" t="s">
        <v>97</v>
      </c>
      <c r="B500" s="7" t="s">
        <v>206</v>
      </c>
      <c r="C500" s="1" t="s">
        <v>176</v>
      </c>
      <c r="D500" s="1" t="s">
        <v>177</v>
      </c>
      <c r="E500" s="1" t="s">
        <v>178</v>
      </c>
      <c r="F500" s="1" t="n">
        <v>58951.27</v>
      </c>
      <c r="G500" s="1" t="n">
        <v>58951.27</v>
      </c>
      <c r="H500" s="1" t="str">
        <f aca="false">IF(ABS(F500-G500)&lt;=0.01,"PASS","CHECK")</f>
        <v>PASS</v>
      </c>
    </row>
    <row r="501" customFormat="false" ht="15" hidden="false" customHeight="true" outlineLevel="0" collapsed="false">
      <c r="A501" s="1" t="s">
        <v>97</v>
      </c>
      <c r="B501" s="7" t="s">
        <v>206</v>
      </c>
      <c r="C501" s="1" t="s">
        <v>198</v>
      </c>
      <c r="D501" s="1" t="s">
        <v>177</v>
      </c>
      <c r="E501" s="1" t="s">
        <v>180</v>
      </c>
      <c r="F501" s="1" t="n">
        <v>18000</v>
      </c>
      <c r="G501" s="1" t="n">
        <v>18000</v>
      </c>
      <c r="H501" s="1" t="str">
        <f aca="false">IF(ABS(F501-G501)&lt;=0.01,"PASS","CHECK")</f>
        <v>PASS</v>
      </c>
    </row>
    <row r="502" customFormat="false" ht="15" hidden="false" customHeight="true" outlineLevel="0" collapsed="false">
      <c r="A502" s="1" t="s">
        <v>97</v>
      </c>
      <c r="B502" s="7" t="n">
        <v>45292</v>
      </c>
      <c r="C502" s="1" t="s">
        <v>184</v>
      </c>
      <c r="D502" s="1" t="s">
        <v>185</v>
      </c>
      <c r="E502" s="1" t="s">
        <v>178</v>
      </c>
      <c r="F502" s="1" t="n">
        <v>5010.86</v>
      </c>
      <c r="G502" s="1" t="n">
        <v>5010.86</v>
      </c>
      <c r="H502" s="1" t="str">
        <f aca="false">IF(ABS(F502-G502)&lt;=0.01,"PASS","CHECK")</f>
        <v>PASS</v>
      </c>
    </row>
    <row r="503" customFormat="false" ht="15" hidden="false" customHeight="true" outlineLevel="0" collapsed="false">
      <c r="A503" s="1" t="s">
        <v>97</v>
      </c>
      <c r="B503" s="7" t="n">
        <v>45292</v>
      </c>
      <c r="C503" s="1" t="s">
        <v>183</v>
      </c>
      <c r="D503" s="1" t="s">
        <v>178</v>
      </c>
      <c r="E503" s="1" t="s">
        <v>180</v>
      </c>
      <c r="F503" s="1" t="n">
        <v>18000</v>
      </c>
      <c r="G503" s="1" t="n">
        <v>18000</v>
      </c>
      <c r="H503" s="1" t="str">
        <f aca="false">IF(ABS(F503-G503)&lt;=0.01,"PASS","CHECK")</f>
        <v>PASS</v>
      </c>
    </row>
    <row r="504" customFormat="false" ht="15" hidden="false" customHeight="true" outlineLevel="0" collapsed="false">
      <c r="A504" s="1" t="s">
        <v>97</v>
      </c>
      <c r="B504" s="7" t="n">
        <v>45658</v>
      </c>
      <c r="C504" s="1" t="s">
        <v>184</v>
      </c>
      <c r="D504" s="1" t="s">
        <v>185</v>
      </c>
      <c r="E504" s="1" t="s">
        <v>178</v>
      </c>
      <c r="F504" s="1" t="n">
        <v>3917.93</v>
      </c>
      <c r="G504" s="1" t="n">
        <v>3917.93</v>
      </c>
      <c r="H504" s="1" t="str">
        <f aca="false">IF(ABS(F504-G504)&lt;=0.01,"PASS","CHECK")</f>
        <v>PASS</v>
      </c>
    </row>
    <row r="505" customFormat="false" ht="15" hidden="false" customHeight="true" outlineLevel="0" collapsed="false">
      <c r="A505" s="1" t="s">
        <v>97</v>
      </c>
      <c r="B505" s="7" t="n">
        <v>45658</v>
      </c>
      <c r="C505" s="1" t="s">
        <v>183</v>
      </c>
      <c r="D505" s="1" t="s">
        <v>178</v>
      </c>
      <c r="E505" s="1" t="s">
        <v>180</v>
      </c>
      <c r="F505" s="1" t="n">
        <v>18000</v>
      </c>
      <c r="G505" s="1" t="n">
        <v>18000</v>
      </c>
      <c r="H505" s="1" t="str">
        <f aca="false">IF(ABS(F505-G505)&lt;=0.01,"PASS","CHECK")</f>
        <v>PASS</v>
      </c>
    </row>
    <row r="506" customFormat="false" ht="15" hidden="false" customHeight="true" outlineLevel="0" collapsed="false">
      <c r="A506" s="1" t="s">
        <v>97</v>
      </c>
      <c r="B506" s="7" t="n">
        <v>46023</v>
      </c>
      <c r="C506" s="1" t="s">
        <v>184</v>
      </c>
      <c r="D506" s="1" t="s">
        <v>185</v>
      </c>
      <c r="E506" s="1" t="s">
        <v>178</v>
      </c>
      <c r="F506" s="1" t="n">
        <v>2709.8</v>
      </c>
      <c r="G506" s="1" t="n">
        <v>2709.8</v>
      </c>
      <c r="H506" s="1" t="str">
        <f aca="false">IF(ABS(F506-G506)&lt;=0.01,"PASS","CHECK")</f>
        <v>PASS</v>
      </c>
    </row>
    <row r="507" customFormat="false" ht="15" hidden="false" customHeight="true" outlineLevel="0" collapsed="false">
      <c r="A507" s="1" t="s">
        <v>97</v>
      </c>
      <c r="B507" s="7" t="n">
        <v>46023</v>
      </c>
      <c r="C507" s="1" t="s">
        <v>183</v>
      </c>
      <c r="D507" s="1" t="s">
        <v>178</v>
      </c>
      <c r="E507" s="1" t="s">
        <v>180</v>
      </c>
      <c r="F507" s="1" t="n">
        <v>18000</v>
      </c>
      <c r="G507" s="1" t="n">
        <v>18000</v>
      </c>
      <c r="H507" s="1" t="str">
        <f aca="false">IF(ABS(F507-G507)&lt;=0.01,"PASS","CHECK")</f>
        <v>PASS</v>
      </c>
    </row>
    <row r="508" customFormat="false" ht="15" hidden="false" customHeight="true" outlineLevel="0" collapsed="false">
      <c r="A508" s="1" t="s">
        <v>97</v>
      </c>
      <c r="B508" s="7" t="n">
        <v>46271</v>
      </c>
      <c r="C508" s="1" t="s">
        <v>200</v>
      </c>
      <c r="D508" s="1" t="s">
        <v>185</v>
      </c>
      <c r="E508" s="1" t="s">
        <v>178</v>
      </c>
      <c r="F508" s="1" t="n">
        <v>945.53</v>
      </c>
      <c r="G508" s="1" t="n">
        <v>945.53</v>
      </c>
      <c r="H508" s="1" t="str">
        <f aca="false">IF(ABS(F508-G508)&lt;=0.01,"PASS","CHECK")</f>
        <v>PASS</v>
      </c>
    </row>
    <row r="509" customFormat="false" ht="15" hidden="false" customHeight="true" outlineLevel="0" collapsed="false">
      <c r="A509" s="1" t="s">
        <v>97</v>
      </c>
      <c r="B509" s="7" t="n">
        <v>44927</v>
      </c>
      <c r="C509" s="1" t="s">
        <v>149</v>
      </c>
      <c r="D509" s="1" t="s">
        <v>186</v>
      </c>
      <c r="E509" s="1" t="s">
        <v>187</v>
      </c>
      <c r="F509" s="1" t="n">
        <v>1282.52</v>
      </c>
      <c r="G509" s="1" t="n">
        <v>1282.52</v>
      </c>
      <c r="H509" s="1" t="str">
        <f aca="false">IF(ABS(F509-G509)&lt;=0.01,"PASS","CHECK")</f>
        <v>PASS</v>
      </c>
    </row>
    <row r="510" customFormat="false" ht="15" hidden="false" customHeight="true" outlineLevel="0" collapsed="false">
      <c r="A510" s="1" t="s">
        <v>97</v>
      </c>
      <c r="B510" s="7" t="n">
        <v>44958</v>
      </c>
      <c r="C510" s="1" t="s">
        <v>149</v>
      </c>
      <c r="D510" s="1" t="s">
        <v>186</v>
      </c>
      <c r="E510" s="1" t="s">
        <v>187</v>
      </c>
      <c r="F510" s="1" t="n">
        <v>1282.52</v>
      </c>
      <c r="G510" s="1" t="n">
        <v>1282.52</v>
      </c>
      <c r="H510" s="1" t="str">
        <f aca="false">IF(ABS(F510-G510)&lt;=0.01,"PASS","CHECK")</f>
        <v>PASS</v>
      </c>
    </row>
    <row r="511" customFormat="false" ht="15" hidden="false" customHeight="true" outlineLevel="0" collapsed="false">
      <c r="A511" s="1" t="s">
        <v>97</v>
      </c>
      <c r="B511" s="7" t="n">
        <v>44986</v>
      </c>
      <c r="C511" s="1" t="s">
        <v>149</v>
      </c>
      <c r="D511" s="1" t="s">
        <v>186</v>
      </c>
      <c r="E511" s="1" t="s">
        <v>187</v>
      </c>
      <c r="F511" s="1" t="n">
        <v>1282.52</v>
      </c>
      <c r="G511" s="1" t="n">
        <v>1282.52</v>
      </c>
      <c r="H511" s="1" t="str">
        <f aca="false">IF(ABS(F511-G511)&lt;=0.01,"PASS","CHECK")</f>
        <v>PASS</v>
      </c>
    </row>
    <row r="512" customFormat="false" ht="15" hidden="false" customHeight="true" outlineLevel="0" collapsed="false">
      <c r="A512" s="1" t="s">
        <v>97</v>
      </c>
      <c r="B512" s="7" t="n">
        <v>45017</v>
      </c>
      <c r="C512" s="1" t="s">
        <v>149</v>
      </c>
      <c r="D512" s="1" t="s">
        <v>186</v>
      </c>
      <c r="E512" s="1" t="s">
        <v>187</v>
      </c>
      <c r="F512" s="1" t="n">
        <v>1282.52</v>
      </c>
      <c r="G512" s="1" t="n">
        <v>1282.52</v>
      </c>
      <c r="H512" s="1" t="str">
        <f aca="false">IF(ABS(F512-G512)&lt;=0.01,"PASS","CHECK")</f>
        <v>PASS</v>
      </c>
    </row>
    <row r="513" customFormat="false" ht="15" hidden="false" customHeight="true" outlineLevel="0" collapsed="false">
      <c r="A513" s="1" t="s">
        <v>97</v>
      </c>
      <c r="B513" s="7" t="n">
        <v>45047</v>
      </c>
      <c r="C513" s="1" t="s">
        <v>149</v>
      </c>
      <c r="D513" s="1" t="s">
        <v>186</v>
      </c>
      <c r="E513" s="1" t="s">
        <v>187</v>
      </c>
      <c r="F513" s="1" t="n">
        <v>1282.52</v>
      </c>
      <c r="G513" s="1" t="n">
        <v>1282.52</v>
      </c>
      <c r="H513" s="1" t="str">
        <f aca="false">IF(ABS(F513-G513)&lt;=0.01,"PASS","CHECK")</f>
        <v>PASS</v>
      </c>
    </row>
    <row r="514" customFormat="false" ht="15" hidden="false" customHeight="true" outlineLevel="0" collapsed="false">
      <c r="A514" s="1" t="s">
        <v>97</v>
      </c>
      <c r="B514" s="7" t="n">
        <v>45078</v>
      </c>
      <c r="C514" s="1" t="s">
        <v>149</v>
      </c>
      <c r="D514" s="1" t="s">
        <v>186</v>
      </c>
      <c r="E514" s="1" t="s">
        <v>187</v>
      </c>
      <c r="F514" s="1" t="n">
        <v>1282.52</v>
      </c>
      <c r="G514" s="1" t="n">
        <v>1282.52</v>
      </c>
      <c r="H514" s="1" t="str">
        <f aca="false">IF(ABS(F514-G514)&lt;=0.01,"PASS","CHECK")</f>
        <v>PASS</v>
      </c>
    </row>
    <row r="515" customFormat="false" ht="15" hidden="false" customHeight="true" outlineLevel="0" collapsed="false">
      <c r="A515" s="1" t="s">
        <v>97</v>
      </c>
      <c r="B515" s="7" t="n">
        <v>45108</v>
      </c>
      <c r="C515" s="1" t="s">
        <v>149</v>
      </c>
      <c r="D515" s="1" t="s">
        <v>186</v>
      </c>
      <c r="E515" s="1" t="s">
        <v>187</v>
      </c>
      <c r="F515" s="1" t="n">
        <v>1282.52</v>
      </c>
      <c r="G515" s="1" t="n">
        <v>1282.52</v>
      </c>
      <c r="H515" s="1" t="str">
        <f aca="false">IF(ABS(F515-G515)&lt;=0.01,"PASS","CHECK")</f>
        <v>PASS</v>
      </c>
    </row>
    <row r="516" customFormat="false" ht="15" hidden="false" customHeight="true" outlineLevel="0" collapsed="false">
      <c r="A516" s="1" t="s">
        <v>97</v>
      </c>
      <c r="B516" s="7" t="n">
        <v>45139</v>
      </c>
      <c r="C516" s="1" t="s">
        <v>149</v>
      </c>
      <c r="D516" s="1" t="s">
        <v>186</v>
      </c>
      <c r="E516" s="1" t="s">
        <v>187</v>
      </c>
      <c r="F516" s="1" t="n">
        <v>1282.52</v>
      </c>
      <c r="G516" s="1" t="n">
        <v>1282.52</v>
      </c>
      <c r="H516" s="1" t="str">
        <f aca="false">IF(ABS(F516-G516)&lt;=0.01,"PASS","CHECK")</f>
        <v>PASS</v>
      </c>
    </row>
    <row r="517" customFormat="false" ht="15" hidden="false" customHeight="true" outlineLevel="0" collapsed="false">
      <c r="A517" s="1" t="s">
        <v>97</v>
      </c>
      <c r="B517" s="7" t="n">
        <v>45170</v>
      </c>
      <c r="C517" s="1" t="s">
        <v>149</v>
      </c>
      <c r="D517" s="1" t="s">
        <v>186</v>
      </c>
      <c r="E517" s="1" t="s">
        <v>187</v>
      </c>
      <c r="F517" s="1" t="n">
        <v>1282.52</v>
      </c>
      <c r="G517" s="1" t="n">
        <v>1282.52</v>
      </c>
      <c r="H517" s="1" t="str">
        <f aca="false">IF(ABS(F517-G517)&lt;=0.01,"PASS","CHECK")</f>
        <v>PASS</v>
      </c>
    </row>
    <row r="518" customFormat="false" ht="15" hidden="false" customHeight="true" outlineLevel="0" collapsed="false">
      <c r="A518" s="1" t="s">
        <v>97</v>
      </c>
      <c r="B518" s="7" t="n">
        <v>45200</v>
      </c>
      <c r="C518" s="1" t="s">
        <v>149</v>
      </c>
      <c r="D518" s="1" t="s">
        <v>186</v>
      </c>
      <c r="E518" s="1" t="s">
        <v>187</v>
      </c>
      <c r="F518" s="1" t="n">
        <v>1282.52</v>
      </c>
      <c r="G518" s="1" t="n">
        <v>1282.52</v>
      </c>
      <c r="H518" s="1" t="str">
        <f aca="false">IF(ABS(F518-G518)&lt;=0.01,"PASS","CHECK")</f>
        <v>PASS</v>
      </c>
    </row>
    <row r="519" customFormat="false" ht="15" hidden="false" customHeight="true" outlineLevel="0" collapsed="false">
      <c r="A519" s="1" t="s">
        <v>97</v>
      </c>
      <c r="B519" s="7" t="n">
        <v>45231</v>
      </c>
      <c r="C519" s="1" t="s">
        <v>149</v>
      </c>
      <c r="D519" s="1" t="s">
        <v>186</v>
      </c>
      <c r="E519" s="1" t="s">
        <v>187</v>
      </c>
      <c r="F519" s="1" t="n">
        <v>1282.52</v>
      </c>
      <c r="G519" s="1" t="n">
        <v>1282.52</v>
      </c>
      <c r="H519" s="1" t="str">
        <f aca="false">IF(ABS(F519-G519)&lt;=0.01,"PASS","CHECK")</f>
        <v>PASS</v>
      </c>
    </row>
    <row r="520" customFormat="false" ht="15" hidden="false" customHeight="true" outlineLevel="0" collapsed="false">
      <c r="A520" s="1" t="s">
        <v>97</v>
      </c>
      <c r="B520" s="7" t="n">
        <v>45261</v>
      </c>
      <c r="C520" s="1" t="s">
        <v>149</v>
      </c>
      <c r="D520" s="1" t="s">
        <v>186</v>
      </c>
      <c r="E520" s="1" t="s">
        <v>187</v>
      </c>
      <c r="F520" s="1" t="n">
        <v>1282.52</v>
      </c>
      <c r="G520" s="1" t="n">
        <v>1282.52</v>
      </c>
      <c r="H520" s="1" t="str">
        <f aca="false">IF(ABS(F520-G520)&lt;=0.01,"PASS","CHECK")</f>
        <v>PASS</v>
      </c>
    </row>
    <row r="521" customFormat="false" ht="15" hidden="false" customHeight="true" outlineLevel="0" collapsed="false">
      <c r="A521" s="1" t="s">
        <v>97</v>
      </c>
      <c r="B521" s="7" t="n">
        <v>45292</v>
      </c>
      <c r="C521" s="1" t="s">
        <v>149</v>
      </c>
      <c r="D521" s="1" t="s">
        <v>186</v>
      </c>
      <c r="E521" s="1" t="s">
        <v>187</v>
      </c>
      <c r="F521" s="1" t="n">
        <v>1282.52</v>
      </c>
      <c r="G521" s="1" t="n">
        <v>1282.52</v>
      </c>
      <c r="H521" s="1" t="str">
        <f aca="false">IF(ABS(F521-G521)&lt;=0.01,"PASS","CHECK")</f>
        <v>PASS</v>
      </c>
    </row>
    <row r="522" customFormat="false" ht="15" hidden="false" customHeight="true" outlineLevel="0" collapsed="false">
      <c r="A522" s="1" t="s">
        <v>97</v>
      </c>
      <c r="B522" s="7" t="n">
        <v>45323</v>
      </c>
      <c r="C522" s="1" t="s">
        <v>149</v>
      </c>
      <c r="D522" s="1" t="s">
        <v>186</v>
      </c>
      <c r="E522" s="1" t="s">
        <v>187</v>
      </c>
      <c r="F522" s="1" t="n">
        <v>1282.52</v>
      </c>
      <c r="G522" s="1" t="n">
        <v>1282.52</v>
      </c>
      <c r="H522" s="1" t="str">
        <f aca="false">IF(ABS(F522-G522)&lt;=0.01,"PASS","CHECK")</f>
        <v>PASS</v>
      </c>
    </row>
    <row r="523" customFormat="false" ht="15" hidden="false" customHeight="true" outlineLevel="0" collapsed="false">
      <c r="A523" s="1" t="s">
        <v>97</v>
      </c>
      <c r="B523" s="7" t="n">
        <v>45352</v>
      </c>
      <c r="C523" s="1" t="s">
        <v>149</v>
      </c>
      <c r="D523" s="1" t="s">
        <v>186</v>
      </c>
      <c r="E523" s="1" t="s">
        <v>187</v>
      </c>
      <c r="F523" s="1" t="n">
        <v>1282.52</v>
      </c>
      <c r="G523" s="1" t="n">
        <v>1282.52</v>
      </c>
      <c r="H523" s="1" t="str">
        <f aca="false">IF(ABS(F523-G523)&lt;=0.01,"PASS","CHECK")</f>
        <v>PASS</v>
      </c>
    </row>
    <row r="524" customFormat="false" ht="15" hidden="false" customHeight="true" outlineLevel="0" collapsed="false">
      <c r="A524" s="1" t="s">
        <v>97</v>
      </c>
      <c r="B524" s="7" t="n">
        <v>45383</v>
      </c>
      <c r="C524" s="1" t="s">
        <v>149</v>
      </c>
      <c r="D524" s="1" t="s">
        <v>186</v>
      </c>
      <c r="E524" s="1" t="s">
        <v>187</v>
      </c>
      <c r="F524" s="1" t="n">
        <v>1282.52</v>
      </c>
      <c r="G524" s="1" t="n">
        <v>1282.52</v>
      </c>
      <c r="H524" s="1" t="str">
        <f aca="false">IF(ABS(F524-G524)&lt;=0.01,"PASS","CHECK")</f>
        <v>PASS</v>
      </c>
    </row>
    <row r="525" customFormat="false" ht="15" hidden="false" customHeight="true" outlineLevel="0" collapsed="false">
      <c r="A525" s="1" t="s">
        <v>97</v>
      </c>
      <c r="B525" s="7" t="n">
        <v>45413</v>
      </c>
      <c r="C525" s="1" t="s">
        <v>149</v>
      </c>
      <c r="D525" s="1" t="s">
        <v>186</v>
      </c>
      <c r="E525" s="1" t="s">
        <v>187</v>
      </c>
      <c r="F525" s="1" t="n">
        <v>1282.52</v>
      </c>
      <c r="G525" s="1" t="n">
        <v>1282.52</v>
      </c>
      <c r="H525" s="1" t="str">
        <f aca="false">IF(ABS(F525-G525)&lt;=0.01,"PASS","CHECK")</f>
        <v>PASS</v>
      </c>
    </row>
    <row r="526" customFormat="false" ht="15" hidden="false" customHeight="true" outlineLevel="0" collapsed="false">
      <c r="A526" s="1" t="s">
        <v>97</v>
      </c>
      <c r="B526" s="7" t="n">
        <v>45444</v>
      </c>
      <c r="C526" s="1" t="s">
        <v>149</v>
      </c>
      <c r="D526" s="1" t="s">
        <v>186</v>
      </c>
      <c r="E526" s="1" t="s">
        <v>187</v>
      </c>
      <c r="F526" s="1" t="n">
        <v>1282.52</v>
      </c>
      <c r="G526" s="1" t="n">
        <v>1282.52</v>
      </c>
      <c r="H526" s="1" t="str">
        <f aca="false">IF(ABS(F526-G526)&lt;=0.01,"PASS","CHECK")</f>
        <v>PASS</v>
      </c>
    </row>
    <row r="527" customFormat="false" ht="15" hidden="false" customHeight="true" outlineLevel="0" collapsed="false">
      <c r="A527" s="1" t="s">
        <v>97</v>
      </c>
      <c r="B527" s="7" t="n">
        <v>45474</v>
      </c>
      <c r="C527" s="1" t="s">
        <v>149</v>
      </c>
      <c r="D527" s="1" t="s">
        <v>186</v>
      </c>
      <c r="E527" s="1" t="s">
        <v>187</v>
      </c>
      <c r="F527" s="1" t="n">
        <v>1282.52</v>
      </c>
      <c r="G527" s="1" t="n">
        <v>1282.52</v>
      </c>
      <c r="H527" s="1" t="str">
        <f aca="false">IF(ABS(F527-G527)&lt;=0.01,"PASS","CHECK")</f>
        <v>PASS</v>
      </c>
    </row>
    <row r="528" customFormat="false" ht="15" hidden="false" customHeight="true" outlineLevel="0" collapsed="false">
      <c r="A528" s="1" t="s">
        <v>97</v>
      </c>
      <c r="B528" s="7" t="n">
        <v>45505</v>
      </c>
      <c r="C528" s="1" t="s">
        <v>149</v>
      </c>
      <c r="D528" s="1" t="s">
        <v>186</v>
      </c>
      <c r="E528" s="1" t="s">
        <v>187</v>
      </c>
      <c r="F528" s="1" t="n">
        <v>1282.52</v>
      </c>
      <c r="G528" s="1" t="n">
        <v>1282.52</v>
      </c>
      <c r="H528" s="1" t="str">
        <f aca="false">IF(ABS(F528-G528)&lt;=0.01,"PASS","CHECK")</f>
        <v>PASS</v>
      </c>
    </row>
    <row r="529" customFormat="false" ht="15" hidden="false" customHeight="true" outlineLevel="0" collapsed="false">
      <c r="A529" s="1" t="s">
        <v>97</v>
      </c>
      <c r="B529" s="7" t="n">
        <v>45536</v>
      </c>
      <c r="C529" s="1" t="s">
        <v>149</v>
      </c>
      <c r="D529" s="1" t="s">
        <v>186</v>
      </c>
      <c r="E529" s="1" t="s">
        <v>187</v>
      </c>
      <c r="F529" s="1" t="n">
        <v>1282.52</v>
      </c>
      <c r="G529" s="1" t="n">
        <v>1282.52</v>
      </c>
      <c r="H529" s="1" t="str">
        <f aca="false">IF(ABS(F529-G529)&lt;=0.01,"PASS","CHECK")</f>
        <v>PASS</v>
      </c>
    </row>
    <row r="530" customFormat="false" ht="15" hidden="false" customHeight="true" outlineLevel="0" collapsed="false">
      <c r="A530" s="1" t="s">
        <v>97</v>
      </c>
      <c r="B530" s="7" t="n">
        <v>45566</v>
      </c>
      <c r="C530" s="1" t="s">
        <v>149</v>
      </c>
      <c r="D530" s="1" t="s">
        <v>186</v>
      </c>
      <c r="E530" s="1" t="s">
        <v>187</v>
      </c>
      <c r="F530" s="1" t="n">
        <v>1282.52</v>
      </c>
      <c r="G530" s="1" t="n">
        <v>1282.52</v>
      </c>
      <c r="H530" s="1" t="str">
        <f aca="false">IF(ABS(F530-G530)&lt;=0.01,"PASS","CHECK")</f>
        <v>PASS</v>
      </c>
    </row>
    <row r="531" customFormat="false" ht="15" hidden="false" customHeight="true" outlineLevel="0" collapsed="false">
      <c r="A531" s="1" t="s">
        <v>97</v>
      </c>
      <c r="B531" s="7" t="n">
        <v>45597</v>
      </c>
      <c r="C531" s="1" t="s">
        <v>149</v>
      </c>
      <c r="D531" s="1" t="s">
        <v>186</v>
      </c>
      <c r="E531" s="1" t="s">
        <v>187</v>
      </c>
      <c r="F531" s="1" t="n">
        <v>1282.52</v>
      </c>
      <c r="G531" s="1" t="n">
        <v>1282.52</v>
      </c>
      <c r="H531" s="1" t="str">
        <f aca="false">IF(ABS(F531-G531)&lt;=0.01,"PASS","CHECK")</f>
        <v>PASS</v>
      </c>
    </row>
    <row r="532" customFormat="false" ht="15" hidden="false" customHeight="true" outlineLevel="0" collapsed="false">
      <c r="A532" s="1" t="s">
        <v>97</v>
      </c>
      <c r="B532" s="7" t="n">
        <v>45627</v>
      </c>
      <c r="C532" s="1" t="s">
        <v>149</v>
      </c>
      <c r="D532" s="1" t="s">
        <v>186</v>
      </c>
      <c r="E532" s="1" t="s">
        <v>187</v>
      </c>
      <c r="F532" s="1" t="n">
        <v>1282.52</v>
      </c>
      <c r="G532" s="1" t="n">
        <v>1282.52</v>
      </c>
      <c r="H532" s="1" t="str">
        <f aca="false">IF(ABS(F532-G532)&lt;=0.01,"PASS","CHECK")</f>
        <v>PASS</v>
      </c>
    </row>
    <row r="533" customFormat="false" ht="15" hidden="false" customHeight="true" outlineLevel="0" collapsed="false">
      <c r="A533" s="1" t="s">
        <v>97</v>
      </c>
      <c r="B533" s="7" t="n">
        <v>45658</v>
      </c>
      <c r="C533" s="1" t="s">
        <v>149</v>
      </c>
      <c r="D533" s="1" t="s">
        <v>186</v>
      </c>
      <c r="E533" s="1" t="s">
        <v>187</v>
      </c>
      <c r="F533" s="1" t="n">
        <v>1282.52</v>
      </c>
      <c r="G533" s="1" t="n">
        <v>1282.52</v>
      </c>
      <c r="H533" s="1" t="str">
        <f aca="false">IF(ABS(F533-G533)&lt;=0.01,"PASS","CHECK")</f>
        <v>PASS</v>
      </c>
    </row>
    <row r="534" customFormat="false" ht="15" hidden="false" customHeight="true" outlineLevel="0" collapsed="false">
      <c r="A534" s="1" t="s">
        <v>97</v>
      </c>
      <c r="B534" s="7" t="n">
        <v>45689</v>
      </c>
      <c r="C534" s="1" t="s">
        <v>149</v>
      </c>
      <c r="D534" s="1" t="s">
        <v>186</v>
      </c>
      <c r="E534" s="1" t="s">
        <v>187</v>
      </c>
      <c r="F534" s="1" t="n">
        <v>1282.52</v>
      </c>
      <c r="G534" s="1" t="n">
        <v>1282.52</v>
      </c>
      <c r="H534" s="1" t="str">
        <f aca="false">IF(ABS(F534-G534)&lt;=0.01,"PASS","CHECK")</f>
        <v>PASS</v>
      </c>
    </row>
    <row r="535" customFormat="false" ht="15" hidden="false" customHeight="true" outlineLevel="0" collapsed="false">
      <c r="A535" s="1" t="s">
        <v>97</v>
      </c>
      <c r="B535" s="7" t="n">
        <v>45717</v>
      </c>
      <c r="C535" s="1" t="s">
        <v>149</v>
      </c>
      <c r="D535" s="1" t="s">
        <v>186</v>
      </c>
      <c r="E535" s="1" t="s">
        <v>187</v>
      </c>
      <c r="F535" s="1" t="n">
        <v>1282.52</v>
      </c>
      <c r="G535" s="1" t="n">
        <v>1282.52</v>
      </c>
      <c r="H535" s="1" t="str">
        <f aca="false">IF(ABS(F535-G535)&lt;=0.01,"PASS","CHECK")</f>
        <v>PASS</v>
      </c>
    </row>
    <row r="536" customFormat="false" ht="15" hidden="false" customHeight="true" outlineLevel="0" collapsed="false">
      <c r="A536" s="1" t="s">
        <v>97</v>
      </c>
      <c r="B536" s="7" t="n">
        <v>45748</v>
      </c>
      <c r="C536" s="1" t="s">
        <v>149</v>
      </c>
      <c r="D536" s="1" t="s">
        <v>186</v>
      </c>
      <c r="E536" s="1" t="s">
        <v>187</v>
      </c>
      <c r="F536" s="1" t="n">
        <v>1282.52</v>
      </c>
      <c r="G536" s="1" t="n">
        <v>1282.52</v>
      </c>
      <c r="H536" s="1" t="str">
        <f aca="false">IF(ABS(F536-G536)&lt;=0.01,"PASS","CHECK")</f>
        <v>PASS</v>
      </c>
    </row>
    <row r="537" customFormat="false" ht="15" hidden="false" customHeight="true" outlineLevel="0" collapsed="false">
      <c r="A537" s="1" t="s">
        <v>97</v>
      </c>
      <c r="B537" s="7" t="n">
        <v>45778</v>
      </c>
      <c r="C537" s="1" t="s">
        <v>149</v>
      </c>
      <c r="D537" s="1" t="s">
        <v>186</v>
      </c>
      <c r="E537" s="1" t="s">
        <v>187</v>
      </c>
      <c r="F537" s="1" t="n">
        <v>1282.52</v>
      </c>
      <c r="G537" s="1" t="n">
        <v>1282.52</v>
      </c>
      <c r="H537" s="1" t="str">
        <f aca="false">IF(ABS(F537-G537)&lt;=0.01,"PASS","CHECK")</f>
        <v>PASS</v>
      </c>
    </row>
    <row r="538" customFormat="false" ht="15" hidden="false" customHeight="true" outlineLevel="0" collapsed="false">
      <c r="A538" s="1" t="s">
        <v>97</v>
      </c>
      <c r="B538" s="7" t="n">
        <v>45809</v>
      </c>
      <c r="C538" s="1" t="s">
        <v>149</v>
      </c>
      <c r="D538" s="1" t="s">
        <v>186</v>
      </c>
      <c r="E538" s="1" t="s">
        <v>187</v>
      </c>
      <c r="F538" s="1" t="n">
        <v>1282.52</v>
      </c>
      <c r="G538" s="1" t="n">
        <v>1282.52</v>
      </c>
      <c r="H538" s="1" t="str">
        <f aca="false">IF(ABS(F538-G538)&lt;=0.01,"PASS","CHECK")</f>
        <v>PASS</v>
      </c>
    </row>
    <row r="539" customFormat="false" ht="15" hidden="false" customHeight="true" outlineLevel="0" collapsed="false">
      <c r="A539" s="1" t="s">
        <v>97</v>
      </c>
      <c r="B539" s="7" t="n">
        <v>45839</v>
      </c>
      <c r="C539" s="1" t="s">
        <v>149</v>
      </c>
      <c r="D539" s="1" t="s">
        <v>186</v>
      </c>
      <c r="E539" s="1" t="s">
        <v>187</v>
      </c>
      <c r="F539" s="1" t="n">
        <v>1282.52</v>
      </c>
      <c r="G539" s="1" t="n">
        <v>1282.52</v>
      </c>
      <c r="H539" s="1" t="str">
        <f aca="false">IF(ABS(F539-G539)&lt;=0.01,"PASS","CHECK")</f>
        <v>PASS</v>
      </c>
    </row>
    <row r="540" customFormat="false" ht="15" hidden="false" customHeight="true" outlineLevel="0" collapsed="false">
      <c r="A540" s="1" t="s">
        <v>97</v>
      </c>
      <c r="B540" s="7" t="n">
        <v>45870</v>
      </c>
      <c r="C540" s="1" t="s">
        <v>149</v>
      </c>
      <c r="D540" s="1" t="s">
        <v>186</v>
      </c>
      <c r="E540" s="1" t="s">
        <v>187</v>
      </c>
      <c r="F540" s="1" t="n">
        <v>1282.52</v>
      </c>
      <c r="G540" s="1" t="n">
        <v>1282.52</v>
      </c>
      <c r="H540" s="1" t="str">
        <f aca="false">IF(ABS(F540-G540)&lt;=0.01,"PASS","CHECK")</f>
        <v>PASS</v>
      </c>
    </row>
    <row r="541" customFormat="false" ht="15" hidden="false" customHeight="true" outlineLevel="0" collapsed="false">
      <c r="A541" s="1" t="s">
        <v>97</v>
      </c>
      <c r="B541" s="7" t="n">
        <v>45901</v>
      </c>
      <c r="C541" s="1" t="s">
        <v>149</v>
      </c>
      <c r="D541" s="1" t="s">
        <v>186</v>
      </c>
      <c r="E541" s="1" t="s">
        <v>187</v>
      </c>
      <c r="F541" s="1" t="n">
        <v>1282.52</v>
      </c>
      <c r="G541" s="1" t="n">
        <v>1282.52</v>
      </c>
      <c r="H541" s="1" t="str">
        <f aca="false">IF(ABS(F541-G541)&lt;=0.01,"PASS","CHECK")</f>
        <v>PASS</v>
      </c>
    </row>
    <row r="542" customFormat="false" ht="15" hidden="false" customHeight="true" outlineLevel="0" collapsed="false">
      <c r="A542" s="1" t="s">
        <v>97</v>
      </c>
      <c r="B542" s="7" t="n">
        <v>45931</v>
      </c>
      <c r="C542" s="1" t="s">
        <v>149</v>
      </c>
      <c r="D542" s="1" t="s">
        <v>186</v>
      </c>
      <c r="E542" s="1" t="s">
        <v>187</v>
      </c>
      <c r="F542" s="1" t="n">
        <v>1282.52</v>
      </c>
      <c r="G542" s="1" t="n">
        <v>1282.52</v>
      </c>
      <c r="H542" s="1" t="str">
        <f aca="false">IF(ABS(F542-G542)&lt;=0.01,"PASS","CHECK")</f>
        <v>PASS</v>
      </c>
    </row>
    <row r="543" customFormat="false" ht="15" hidden="false" customHeight="true" outlineLevel="0" collapsed="false">
      <c r="A543" s="1" t="s">
        <v>97</v>
      </c>
      <c r="B543" s="7" t="n">
        <v>45962</v>
      </c>
      <c r="C543" s="1" t="s">
        <v>149</v>
      </c>
      <c r="D543" s="1" t="s">
        <v>186</v>
      </c>
      <c r="E543" s="1" t="s">
        <v>187</v>
      </c>
      <c r="F543" s="1" t="n">
        <v>1282.52</v>
      </c>
      <c r="G543" s="1" t="n">
        <v>1282.52</v>
      </c>
      <c r="H543" s="1" t="str">
        <f aca="false">IF(ABS(F543-G543)&lt;=0.01,"PASS","CHECK")</f>
        <v>PASS</v>
      </c>
    </row>
    <row r="544" customFormat="false" ht="15" hidden="false" customHeight="true" outlineLevel="0" collapsed="false">
      <c r="A544" s="1" t="s">
        <v>97</v>
      </c>
      <c r="B544" s="7" t="n">
        <v>45992</v>
      </c>
      <c r="C544" s="1" t="s">
        <v>149</v>
      </c>
      <c r="D544" s="1" t="s">
        <v>186</v>
      </c>
      <c r="E544" s="1" t="s">
        <v>187</v>
      </c>
      <c r="F544" s="1" t="n">
        <v>1282.52</v>
      </c>
      <c r="G544" s="1" t="n">
        <v>1282.52</v>
      </c>
      <c r="H544" s="1" t="str">
        <f aca="false">IF(ABS(F544-G544)&lt;=0.01,"PASS","CHECK")</f>
        <v>PASS</v>
      </c>
    </row>
    <row r="545" customFormat="false" ht="15" hidden="false" customHeight="true" outlineLevel="0" collapsed="false">
      <c r="A545" s="1" t="s">
        <v>97</v>
      </c>
      <c r="B545" s="7" t="n">
        <v>46023</v>
      </c>
      <c r="C545" s="1" t="s">
        <v>149</v>
      </c>
      <c r="D545" s="1" t="s">
        <v>186</v>
      </c>
      <c r="E545" s="1" t="s">
        <v>187</v>
      </c>
      <c r="F545" s="1" t="n">
        <v>1282.52</v>
      </c>
      <c r="G545" s="1" t="n">
        <v>1282.52</v>
      </c>
      <c r="H545" s="1" t="str">
        <f aca="false">IF(ABS(F545-G545)&lt;=0.01,"PASS","CHECK")</f>
        <v>PASS</v>
      </c>
    </row>
    <row r="546" customFormat="false" ht="15" hidden="false" customHeight="true" outlineLevel="0" collapsed="false">
      <c r="A546" s="1" t="s">
        <v>97</v>
      </c>
      <c r="B546" s="7" t="n">
        <v>46054</v>
      </c>
      <c r="C546" s="1" t="s">
        <v>149</v>
      </c>
      <c r="D546" s="1" t="s">
        <v>186</v>
      </c>
      <c r="E546" s="1" t="s">
        <v>187</v>
      </c>
      <c r="F546" s="1" t="n">
        <v>1282.52</v>
      </c>
      <c r="G546" s="1" t="n">
        <v>1282.52</v>
      </c>
      <c r="H546" s="1" t="str">
        <f aca="false">IF(ABS(F546-G546)&lt;=0.01,"PASS","CHECK")</f>
        <v>PASS</v>
      </c>
    </row>
    <row r="547" customFormat="false" ht="15" hidden="false" customHeight="true" outlineLevel="0" collapsed="false">
      <c r="A547" s="1" t="s">
        <v>97</v>
      </c>
      <c r="B547" s="7" t="n">
        <v>46082</v>
      </c>
      <c r="C547" s="1" t="s">
        <v>149</v>
      </c>
      <c r="D547" s="1" t="s">
        <v>186</v>
      </c>
      <c r="E547" s="1" t="s">
        <v>187</v>
      </c>
      <c r="F547" s="1" t="n">
        <v>1282.52</v>
      </c>
      <c r="G547" s="1" t="n">
        <v>1282.52</v>
      </c>
      <c r="H547" s="1" t="str">
        <f aca="false">IF(ABS(F547-G547)&lt;=0.01,"PASS","CHECK")</f>
        <v>PASS</v>
      </c>
    </row>
    <row r="548" customFormat="false" ht="15" hidden="false" customHeight="true" outlineLevel="0" collapsed="false">
      <c r="A548" s="1" t="s">
        <v>97</v>
      </c>
      <c r="B548" s="7" t="n">
        <v>46113</v>
      </c>
      <c r="C548" s="1" t="s">
        <v>149</v>
      </c>
      <c r="D548" s="1" t="s">
        <v>186</v>
      </c>
      <c r="E548" s="1" t="s">
        <v>187</v>
      </c>
      <c r="F548" s="1" t="n">
        <v>1282.52</v>
      </c>
      <c r="G548" s="1" t="n">
        <v>1282.52</v>
      </c>
      <c r="H548" s="1" t="str">
        <f aca="false">IF(ABS(F548-G548)&lt;=0.01,"PASS","CHECK")</f>
        <v>PASS</v>
      </c>
    </row>
    <row r="549" customFormat="false" ht="15" hidden="false" customHeight="true" outlineLevel="0" collapsed="false">
      <c r="A549" s="1" t="s">
        <v>97</v>
      </c>
      <c r="B549" s="7" t="n">
        <v>46143</v>
      </c>
      <c r="C549" s="1" t="s">
        <v>149</v>
      </c>
      <c r="D549" s="1" t="s">
        <v>186</v>
      </c>
      <c r="E549" s="1" t="s">
        <v>187</v>
      </c>
      <c r="F549" s="1" t="n">
        <v>1282.52</v>
      </c>
      <c r="G549" s="1" t="n">
        <v>1282.52</v>
      </c>
      <c r="H549" s="1" t="str">
        <f aca="false">IF(ABS(F549-G549)&lt;=0.01,"PASS","CHECK")</f>
        <v>PASS</v>
      </c>
    </row>
    <row r="550" customFormat="false" ht="15" hidden="false" customHeight="true" outlineLevel="0" collapsed="false">
      <c r="A550" s="1" t="s">
        <v>97</v>
      </c>
      <c r="B550" s="7" t="n">
        <v>46174</v>
      </c>
      <c r="C550" s="1" t="s">
        <v>149</v>
      </c>
      <c r="D550" s="1" t="s">
        <v>186</v>
      </c>
      <c r="E550" s="1" t="s">
        <v>187</v>
      </c>
      <c r="F550" s="1" t="n">
        <v>1282.52</v>
      </c>
      <c r="G550" s="1" t="n">
        <v>1282.52</v>
      </c>
      <c r="H550" s="1" t="str">
        <f aca="false">IF(ABS(F550-G550)&lt;=0.01,"PASS","CHECK")</f>
        <v>PASS</v>
      </c>
    </row>
    <row r="551" customFormat="false" ht="15" hidden="false" customHeight="true" outlineLevel="0" collapsed="false">
      <c r="A551" s="1" t="s">
        <v>97</v>
      </c>
      <c r="B551" s="7" t="n">
        <v>46204</v>
      </c>
      <c r="C551" s="1" t="s">
        <v>149</v>
      </c>
      <c r="D551" s="1" t="s">
        <v>186</v>
      </c>
      <c r="E551" s="1" t="s">
        <v>187</v>
      </c>
      <c r="F551" s="1" t="n">
        <v>1282.52</v>
      </c>
      <c r="G551" s="1" t="n">
        <v>1282.52</v>
      </c>
      <c r="H551" s="1" t="str">
        <f aca="false">IF(ABS(F551-G551)&lt;=0.01,"PASS","CHECK")</f>
        <v>PASS</v>
      </c>
    </row>
    <row r="552" customFormat="false" ht="15" hidden="false" customHeight="true" outlineLevel="0" collapsed="false">
      <c r="A552" s="1" t="s">
        <v>97</v>
      </c>
      <c r="B552" s="7" t="n">
        <v>46235</v>
      </c>
      <c r="C552" s="1" t="s">
        <v>149</v>
      </c>
      <c r="D552" s="1" t="s">
        <v>186</v>
      </c>
      <c r="E552" s="1" t="s">
        <v>187</v>
      </c>
      <c r="F552" s="1" t="n">
        <v>1282.52</v>
      </c>
      <c r="G552" s="1" t="n">
        <v>1282.52</v>
      </c>
      <c r="H552" s="1" t="str">
        <f aca="false">IF(ABS(F552-G552)&lt;=0.01,"PASS","CHECK")</f>
        <v>PASS</v>
      </c>
    </row>
    <row r="553" customFormat="false" ht="15" hidden="false" customHeight="true" outlineLevel="0" collapsed="false">
      <c r="A553" s="1" t="s">
        <v>97</v>
      </c>
      <c r="B553" s="7" t="n">
        <v>46266</v>
      </c>
      <c r="C553" s="1" t="s">
        <v>149</v>
      </c>
      <c r="D553" s="1" t="s">
        <v>186</v>
      </c>
      <c r="E553" s="1" t="s">
        <v>187</v>
      </c>
      <c r="F553" s="1" t="n">
        <v>1282.52</v>
      </c>
      <c r="G553" s="1" t="n">
        <v>1282.52</v>
      </c>
      <c r="H553" s="1" t="str">
        <f aca="false">IF(ABS(F553-G553)&lt;=0.01,"PASS","CHECK")</f>
        <v>PASS</v>
      </c>
    </row>
    <row r="554" customFormat="false" ht="15" hidden="false" customHeight="true" outlineLevel="0" collapsed="false">
      <c r="A554" s="1" t="s">
        <v>101</v>
      </c>
      <c r="B554" s="7" t="s">
        <v>207</v>
      </c>
      <c r="C554" s="1" t="s">
        <v>176</v>
      </c>
      <c r="D554" s="1" t="s">
        <v>177</v>
      </c>
      <c r="E554" s="1" t="s">
        <v>178</v>
      </c>
      <c r="F554" s="1" t="n">
        <v>4476019.37</v>
      </c>
      <c r="G554" s="1" t="n">
        <v>4476019.37</v>
      </c>
      <c r="H554" s="1" t="str">
        <f aca="false">IF(ABS(F554-G554)&lt;=0.01,"PASS","CHECK")</f>
        <v>PASS</v>
      </c>
    </row>
    <row r="555" customFormat="false" ht="15" hidden="false" customHeight="true" outlineLevel="0" collapsed="false">
      <c r="A555" s="1" t="s">
        <v>101</v>
      </c>
      <c r="B555" s="7" t="s">
        <v>207</v>
      </c>
      <c r="C555" s="1" t="s">
        <v>181</v>
      </c>
      <c r="D555" s="1" t="s">
        <v>177</v>
      </c>
      <c r="E555" s="1" t="s">
        <v>182</v>
      </c>
      <c r="F555" s="1" t="n">
        <v>425055.13</v>
      </c>
      <c r="G555" s="1" t="n">
        <v>425055.13</v>
      </c>
      <c r="H555" s="1" t="str">
        <f aca="false">IF(ABS(F555-G555)&lt;=0.01,"PASS","CHECK")</f>
        <v>PASS</v>
      </c>
    </row>
    <row r="556" customFormat="false" ht="15" hidden="false" customHeight="true" outlineLevel="0" collapsed="false">
      <c r="A556" s="1" t="s">
        <v>101</v>
      </c>
      <c r="B556" s="7" t="s">
        <v>207</v>
      </c>
      <c r="C556" s="1" t="s">
        <v>199</v>
      </c>
      <c r="D556" s="1" t="s">
        <v>180</v>
      </c>
      <c r="E556" s="1" t="s">
        <v>177</v>
      </c>
      <c r="F556" s="1" t="n">
        <v>50000</v>
      </c>
      <c r="G556" s="1" t="n">
        <v>50000</v>
      </c>
      <c r="H556" s="1" t="str">
        <f aca="false">IF(ABS(F556-G556)&lt;=0.01,"PASS","CHECK")</f>
        <v>PASS</v>
      </c>
    </row>
    <row r="557" customFormat="false" ht="15" hidden="false" customHeight="true" outlineLevel="0" collapsed="false">
      <c r="A557" s="1" t="s">
        <v>101</v>
      </c>
      <c r="B557" s="7" t="n">
        <v>45839</v>
      </c>
      <c r="C557" s="1" t="s">
        <v>184</v>
      </c>
      <c r="D557" s="1" t="s">
        <v>185</v>
      </c>
      <c r="E557" s="1" t="s">
        <v>178</v>
      </c>
      <c r="F557" s="1" t="n">
        <v>36883.43</v>
      </c>
      <c r="G557" s="1" t="n">
        <v>36883.43</v>
      </c>
      <c r="H557" s="1" t="str">
        <f aca="false">IF(ABS(F557-G557)&lt;=0.01,"PASS","CHECK")</f>
        <v>PASS</v>
      </c>
    </row>
    <row r="558" customFormat="false" ht="15" hidden="false" customHeight="true" outlineLevel="0" collapsed="false">
      <c r="A558" s="1" t="s">
        <v>101</v>
      </c>
      <c r="B558" s="7" t="n">
        <v>45839</v>
      </c>
      <c r="C558" s="1" t="s">
        <v>183</v>
      </c>
      <c r="D558" s="1" t="s">
        <v>178</v>
      </c>
      <c r="E558" s="1" t="s">
        <v>180</v>
      </c>
      <c r="F558" s="1" t="n">
        <v>100000</v>
      </c>
      <c r="G558" s="1" t="n">
        <v>100000</v>
      </c>
      <c r="H558" s="1" t="str">
        <f aca="false">IF(ABS(F558-G558)&lt;=0.01,"PASS","CHECK")</f>
        <v>PASS</v>
      </c>
    </row>
    <row r="559" customFormat="false" ht="15" hidden="false" customHeight="true" outlineLevel="0" collapsed="false">
      <c r="A559" s="1" t="s">
        <v>101</v>
      </c>
      <c r="B559" s="7" t="n">
        <v>45870</v>
      </c>
      <c r="C559" s="1" t="s">
        <v>184</v>
      </c>
      <c r="D559" s="1" t="s">
        <v>185</v>
      </c>
      <c r="E559" s="1" t="s">
        <v>178</v>
      </c>
      <c r="F559" s="1" t="n">
        <v>37580.6</v>
      </c>
      <c r="G559" s="1" t="n">
        <v>37580.6</v>
      </c>
      <c r="H559" s="1" t="str">
        <f aca="false">IF(ABS(F559-G559)&lt;=0.01,"PASS","CHECK")</f>
        <v>PASS</v>
      </c>
    </row>
    <row r="560" customFormat="false" ht="15" hidden="false" customHeight="true" outlineLevel="0" collapsed="false">
      <c r="A560" s="1" t="s">
        <v>101</v>
      </c>
      <c r="B560" s="7" t="n">
        <v>45870</v>
      </c>
      <c r="C560" s="1" t="s">
        <v>183</v>
      </c>
      <c r="D560" s="1" t="s">
        <v>178</v>
      </c>
      <c r="E560" s="1" t="s">
        <v>180</v>
      </c>
      <c r="F560" s="1" t="n">
        <v>100000</v>
      </c>
      <c r="G560" s="1" t="n">
        <v>100000</v>
      </c>
      <c r="H560" s="1" t="str">
        <f aca="false">IF(ABS(F560-G560)&lt;=0.01,"PASS","CHECK")</f>
        <v>PASS</v>
      </c>
    </row>
    <row r="561" customFormat="false" ht="15" hidden="false" customHeight="true" outlineLevel="0" collapsed="false">
      <c r="A561" s="1" t="s">
        <v>101</v>
      </c>
      <c r="B561" s="7" t="n">
        <v>45901</v>
      </c>
      <c r="C561" s="1" t="s">
        <v>184</v>
      </c>
      <c r="D561" s="1" t="s">
        <v>185</v>
      </c>
      <c r="E561" s="1" t="s">
        <v>178</v>
      </c>
      <c r="F561" s="1" t="n">
        <v>37049.03</v>
      </c>
      <c r="G561" s="1" t="n">
        <v>37049.03</v>
      </c>
      <c r="H561" s="1" t="str">
        <f aca="false">IF(ABS(F561-G561)&lt;=0.01,"PASS","CHECK")</f>
        <v>PASS</v>
      </c>
    </row>
    <row r="562" customFormat="false" ht="15" hidden="false" customHeight="true" outlineLevel="0" collapsed="false">
      <c r="A562" s="1" t="s">
        <v>101</v>
      </c>
      <c r="B562" s="7" t="n">
        <v>45901</v>
      </c>
      <c r="C562" s="1" t="s">
        <v>183</v>
      </c>
      <c r="D562" s="1" t="s">
        <v>178</v>
      </c>
      <c r="E562" s="1" t="s">
        <v>180</v>
      </c>
      <c r="F562" s="1" t="n">
        <v>100000</v>
      </c>
      <c r="G562" s="1" t="n">
        <v>100000</v>
      </c>
      <c r="H562" s="1" t="str">
        <f aca="false">IF(ABS(F562-G562)&lt;=0.01,"PASS","CHECK")</f>
        <v>PASS</v>
      </c>
    </row>
    <row r="563" customFormat="false" ht="15" hidden="false" customHeight="true" outlineLevel="0" collapsed="false">
      <c r="A563" s="1" t="s">
        <v>101</v>
      </c>
      <c r="B563" s="7" t="n">
        <v>45931</v>
      </c>
      <c r="C563" s="1" t="s">
        <v>184</v>
      </c>
      <c r="D563" s="1" t="s">
        <v>185</v>
      </c>
      <c r="E563" s="1" t="s">
        <v>178</v>
      </c>
      <c r="F563" s="1" t="n">
        <v>35330.26</v>
      </c>
      <c r="G563" s="1" t="n">
        <v>35330.26</v>
      </c>
      <c r="H563" s="1" t="str">
        <f aca="false">IF(ABS(F563-G563)&lt;=0.01,"PASS","CHECK")</f>
        <v>PASS</v>
      </c>
    </row>
    <row r="564" customFormat="false" ht="15" hidden="false" customHeight="true" outlineLevel="0" collapsed="false">
      <c r="A564" s="1" t="s">
        <v>101</v>
      </c>
      <c r="B564" s="7" t="n">
        <v>45931</v>
      </c>
      <c r="C564" s="1" t="s">
        <v>183</v>
      </c>
      <c r="D564" s="1" t="s">
        <v>178</v>
      </c>
      <c r="E564" s="1" t="s">
        <v>180</v>
      </c>
      <c r="F564" s="1" t="n">
        <v>100000</v>
      </c>
      <c r="G564" s="1" t="n">
        <v>100000</v>
      </c>
      <c r="H564" s="1" t="str">
        <f aca="false">IF(ABS(F564-G564)&lt;=0.01,"PASS","CHECK")</f>
        <v>PASS</v>
      </c>
    </row>
    <row r="565" customFormat="false" ht="15" hidden="false" customHeight="true" outlineLevel="0" collapsed="false">
      <c r="A565" s="1" t="s">
        <v>101</v>
      </c>
      <c r="B565" s="7" t="n">
        <v>45962</v>
      </c>
      <c r="C565" s="1" t="s">
        <v>184</v>
      </c>
      <c r="D565" s="1" t="s">
        <v>185</v>
      </c>
      <c r="E565" s="1" t="s">
        <v>178</v>
      </c>
      <c r="F565" s="1" t="n">
        <v>35962.2</v>
      </c>
      <c r="G565" s="1" t="n">
        <v>35962.2</v>
      </c>
      <c r="H565" s="1" t="str">
        <f aca="false">IF(ABS(F565-G565)&lt;=0.01,"PASS","CHECK")</f>
        <v>PASS</v>
      </c>
    </row>
    <row r="566" customFormat="false" ht="15" hidden="false" customHeight="true" outlineLevel="0" collapsed="false">
      <c r="A566" s="1" t="s">
        <v>101</v>
      </c>
      <c r="B566" s="7" t="n">
        <v>45962</v>
      </c>
      <c r="C566" s="1" t="s">
        <v>183</v>
      </c>
      <c r="D566" s="1" t="s">
        <v>178</v>
      </c>
      <c r="E566" s="1" t="s">
        <v>180</v>
      </c>
      <c r="F566" s="1" t="n">
        <v>100000</v>
      </c>
      <c r="G566" s="1" t="n">
        <v>100000</v>
      </c>
      <c r="H566" s="1" t="str">
        <f aca="false">IF(ABS(F566-G566)&lt;=0.01,"PASS","CHECK")</f>
        <v>PASS</v>
      </c>
    </row>
    <row r="567" customFormat="false" ht="15" hidden="false" customHeight="true" outlineLevel="0" collapsed="false">
      <c r="A567" s="1" t="s">
        <v>101</v>
      </c>
      <c r="B567" s="7" t="n">
        <v>45992</v>
      </c>
      <c r="C567" s="1" t="s">
        <v>184</v>
      </c>
      <c r="D567" s="1" t="s">
        <v>185</v>
      </c>
      <c r="E567" s="1" t="s">
        <v>178</v>
      </c>
      <c r="F567" s="1" t="n">
        <v>34269.68</v>
      </c>
      <c r="G567" s="1" t="n">
        <v>34269.68</v>
      </c>
      <c r="H567" s="1" t="str">
        <f aca="false">IF(ABS(F567-G567)&lt;=0.01,"PASS","CHECK")</f>
        <v>PASS</v>
      </c>
    </row>
    <row r="568" customFormat="false" ht="15" hidden="false" customHeight="true" outlineLevel="0" collapsed="false">
      <c r="A568" s="1" t="s">
        <v>101</v>
      </c>
      <c r="B568" s="7" t="n">
        <v>45992</v>
      </c>
      <c r="C568" s="1" t="s">
        <v>183</v>
      </c>
      <c r="D568" s="1" t="s">
        <v>178</v>
      </c>
      <c r="E568" s="1" t="s">
        <v>180</v>
      </c>
      <c r="F568" s="1" t="n">
        <v>100000</v>
      </c>
      <c r="G568" s="1" t="n">
        <v>100000</v>
      </c>
      <c r="H568" s="1" t="str">
        <f aca="false">IF(ABS(F568-G568)&lt;=0.01,"PASS","CHECK")</f>
        <v>PASS</v>
      </c>
    </row>
    <row r="569" customFormat="false" ht="15" hidden="false" customHeight="true" outlineLevel="0" collapsed="false">
      <c r="A569" s="1" t="s">
        <v>101</v>
      </c>
      <c r="B569" s="7" t="n">
        <v>46023</v>
      </c>
      <c r="C569" s="1" t="s">
        <v>184</v>
      </c>
      <c r="D569" s="1" t="s">
        <v>185</v>
      </c>
      <c r="E569" s="1" t="s">
        <v>178</v>
      </c>
      <c r="F569" s="1" t="n">
        <v>34857.09</v>
      </c>
      <c r="G569" s="1" t="n">
        <v>34857.09</v>
      </c>
      <c r="H569" s="1" t="str">
        <f aca="false">IF(ABS(F569-G569)&lt;=0.01,"PASS","CHECK")</f>
        <v>PASS</v>
      </c>
    </row>
    <row r="570" customFormat="false" ht="15" hidden="false" customHeight="true" outlineLevel="0" collapsed="false">
      <c r="A570" s="1" t="s">
        <v>101</v>
      </c>
      <c r="B570" s="7" t="n">
        <v>46023</v>
      </c>
      <c r="C570" s="1" t="s">
        <v>183</v>
      </c>
      <c r="D570" s="1" t="s">
        <v>178</v>
      </c>
      <c r="E570" s="1" t="s">
        <v>180</v>
      </c>
      <c r="F570" s="1" t="n">
        <v>100000</v>
      </c>
      <c r="G570" s="1" t="n">
        <v>100000</v>
      </c>
      <c r="H570" s="1" t="str">
        <f aca="false">IF(ABS(F570-G570)&lt;=0.01,"PASS","CHECK")</f>
        <v>PASS</v>
      </c>
    </row>
    <row r="571" customFormat="false" ht="15" hidden="false" customHeight="true" outlineLevel="0" collapsed="false">
      <c r="A571" s="1" t="s">
        <v>101</v>
      </c>
      <c r="B571" s="7" t="n">
        <v>46054</v>
      </c>
      <c r="C571" s="1" t="s">
        <v>184</v>
      </c>
      <c r="D571" s="1" t="s">
        <v>185</v>
      </c>
      <c r="E571" s="1" t="s">
        <v>178</v>
      </c>
      <c r="F571" s="1" t="n">
        <v>34302.33</v>
      </c>
      <c r="G571" s="1" t="n">
        <v>34302.33</v>
      </c>
      <c r="H571" s="1" t="str">
        <f aca="false">IF(ABS(F571-G571)&lt;=0.01,"PASS","CHECK")</f>
        <v>PASS</v>
      </c>
    </row>
    <row r="572" customFormat="false" ht="15" hidden="false" customHeight="true" outlineLevel="0" collapsed="false">
      <c r="A572" s="1" t="s">
        <v>101</v>
      </c>
      <c r="B572" s="7" t="n">
        <v>46054</v>
      </c>
      <c r="C572" s="1" t="s">
        <v>183</v>
      </c>
      <c r="D572" s="1" t="s">
        <v>178</v>
      </c>
      <c r="E572" s="1" t="s">
        <v>180</v>
      </c>
      <c r="F572" s="1" t="n">
        <v>100000</v>
      </c>
      <c r="G572" s="1" t="n">
        <v>100000</v>
      </c>
      <c r="H572" s="1" t="str">
        <f aca="false">IF(ABS(F572-G572)&lt;=0.01,"PASS","CHECK")</f>
        <v>PASS</v>
      </c>
    </row>
    <row r="573" customFormat="false" ht="15" hidden="false" customHeight="true" outlineLevel="0" collapsed="false">
      <c r="A573" s="1" t="s">
        <v>101</v>
      </c>
      <c r="B573" s="7" t="n">
        <v>46082</v>
      </c>
      <c r="C573" s="1" t="s">
        <v>184</v>
      </c>
      <c r="D573" s="1" t="s">
        <v>185</v>
      </c>
      <c r="E573" s="1" t="s">
        <v>178</v>
      </c>
      <c r="F573" s="1" t="n">
        <v>30464.88</v>
      </c>
      <c r="G573" s="1" t="n">
        <v>30464.88</v>
      </c>
      <c r="H573" s="1" t="str">
        <f aca="false">IF(ABS(F573-G573)&lt;=0.01,"PASS","CHECK")</f>
        <v>PASS</v>
      </c>
    </row>
    <row r="574" customFormat="false" ht="15" hidden="false" customHeight="true" outlineLevel="0" collapsed="false">
      <c r="A574" s="1" t="s">
        <v>101</v>
      </c>
      <c r="B574" s="7" t="n">
        <v>46082</v>
      </c>
      <c r="C574" s="1" t="s">
        <v>183</v>
      </c>
      <c r="D574" s="1" t="s">
        <v>178</v>
      </c>
      <c r="E574" s="1" t="s">
        <v>180</v>
      </c>
      <c r="F574" s="1" t="n">
        <v>100000</v>
      </c>
      <c r="G574" s="1" t="n">
        <v>100000</v>
      </c>
      <c r="H574" s="1" t="str">
        <f aca="false">IF(ABS(F574-G574)&lt;=0.01,"PASS","CHECK")</f>
        <v>PASS</v>
      </c>
    </row>
    <row r="575" customFormat="false" ht="15" hidden="false" customHeight="true" outlineLevel="0" collapsed="false">
      <c r="A575" s="1" t="s">
        <v>101</v>
      </c>
      <c r="B575" s="7" t="n">
        <v>46113</v>
      </c>
      <c r="C575" s="1" t="s">
        <v>184</v>
      </c>
      <c r="D575" s="1" t="s">
        <v>185</v>
      </c>
      <c r="E575" s="1" t="s">
        <v>178</v>
      </c>
      <c r="F575" s="1" t="n">
        <v>33150.67</v>
      </c>
      <c r="G575" s="1" t="n">
        <v>33150.67</v>
      </c>
      <c r="H575" s="1" t="str">
        <f aca="false">IF(ABS(F575-G575)&lt;=0.01,"PASS","CHECK")</f>
        <v>PASS</v>
      </c>
    </row>
    <row r="576" customFormat="false" ht="15" hidden="false" customHeight="true" outlineLevel="0" collapsed="false">
      <c r="A576" s="1" t="s">
        <v>101</v>
      </c>
      <c r="B576" s="7" t="n">
        <v>46113</v>
      </c>
      <c r="C576" s="1" t="s">
        <v>183</v>
      </c>
      <c r="D576" s="1" t="s">
        <v>178</v>
      </c>
      <c r="E576" s="1" t="s">
        <v>180</v>
      </c>
      <c r="F576" s="1" t="n">
        <v>100000</v>
      </c>
      <c r="G576" s="1" t="n">
        <v>100000</v>
      </c>
      <c r="H576" s="1" t="str">
        <f aca="false">IF(ABS(F576-G576)&lt;=0.01,"PASS","CHECK")</f>
        <v>PASS</v>
      </c>
    </row>
    <row r="577" customFormat="false" ht="15" hidden="false" customHeight="true" outlineLevel="0" collapsed="false">
      <c r="A577" s="1" t="s">
        <v>101</v>
      </c>
      <c r="B577" s="7" t="n">
        <v>46143</v>
      </c>
      <c r="C577" s="1" t="s">
        <v>184</v>
      </c>
      <c r="D577" s="1" t="s">
        <v>185</v>
      </c>
      <c r="E577" s="1" t="s">
        <v>178</v>
      </c>
      <c r="F577" s="1" t="n">
        <v>31526.05</v>
      </c>
      <c r="G577" s="1" t="n">
        <v>31526.05</v>
      </c>
      <c r="H577" s="1" t="str">
        <f aca="false">IF(ABS(F577-G577)&lt;=0.01,"PASS","CHECK")</f>
        <v>PASS</v>
      </c>
    </row>
    <row r="578" customFormat="false" ht="15" hidden="false" customHeight="true" outlineLevel="0" collapsed="false">
      <c r="A578" s="1" t="s">
        <v>101</v>
      </c>
      <c r="B578" s="7" t="n">
        <v>46143</v>
      </c>
      <c r="C578" s="1" t="s">
        <v>183</v>
      </c>
      <c r="D578" s="1" t="s">
        <v>178</v>
      </c>
      <c r="E578" s="1" t="s">
        <v>180</v>
      </c>
      <c r="F578" s="1" t="n">
        <v>100000</v>
      </c>
      <c r="G578" s="1" t="n">
        <v>100000</v>
      </c>
      <c r="H578" s="1" t="str">
        <f aca="false">IF(ABS(F578-G578)&lt;=0.01,"PASS","CHECK")</f>
        <v>PASS</v>
      </c>
    </row>
    <row r="579" customFormat="false" ht="15" hidden="false" customHeight="true" outlineLevel="0" collapsed="false">
      <c r="A579" s="1" t="s">
        <v>101</v>
      </c>
      <c r="B579" s="7" t="n">
        <v>46174</v>
      </c>
      <c r="C579" s="1" t="s">
        <v>184</v>
      </c>
      <c r="D579" s="1" t="s">
        <v>185</v>
      </c>
      <c r="E579" s="1" t="s">
        <v>178</v>
      </c>
      <c r="F579" s="1" t="n">
        <v>31998.25</v>
      </c>
      <c r="G579" s="1" t="n">
        <v>31998.25</v>
      </c>
      <c r="H579" s="1" t="str">
        <f aca="false">IF(ABS(F579-G579)&lt;=0.01,"PASS","CHECK")</f>
        <v>PASS</v>
      </c>
    </row>
    <row r="580" customFormat="false" ht="15" hidden="false" customHeight="true" outlineLevel="0" collapsed="false">
      <c r="A580" s="1" t="s">
        <v>101</v>
      </c>
      <c r="B580" s="7" t="n">
        <v>46174</v>
      </c>
      <c r="C580" s="1" t="s">
        <v>183</v>
      </c>
      <c r="D580" s="1" t="s">
        <v>178</v>
      </c>
      <c r="E580" s="1" t="s">
        <v>180</v>
      </c>
      <c r="F580" s="1" t="n">
        <v>115000</v>
      </c>
      <c r="G580" s="1" t="n">
        <v>115000</v>
      </c>
      <c r="H580" s="1" t="str">
        <f aca="false">IF(ABS(F580-G580)&lt;=0.01,"PASS","CHECK")</f>
        <v>PASS</v>
      </c>
    </row>
    <row r="581" customFormat="false" ht="15" hidden="false" customHeight="true" outlineLevel="0" collapsed="false">
      <c r="A581" s="1" t="s">
        <v>101</v>
      </c>
      <c r="B581" s="7" t="n">
        <v>46204</v>
      </c>
      <c r="C581" s="1" t="s">
        <v>184</v>
      </c>
      <c r="D581" s="1" t="s">
        <v>185</v>
      </c>
      <c r="E581" s="1" t="s">
        <v>178</v>
      </c>
      <c r="F581" s="1" t="n">
        <v>30277.85</v>
      </c>
      <c r="G581" s="1" t="n">
        <v>30277.85</v>
      </c>
      <c r="H581" s="1" t="str">
        <f aca="false">IF(ABS(F581-G581)&lt;=0.01,"PASS","CHECK")</f>
        <v>PASS</v>
      </c>
    </row>
    <row r="582" customFormat="false" ht="15" hidden="false" customHeight="true" outlineLevel="0" collapsed="false">
      <c r="A582" s="1" t="s">
        <v>101</v>
      </c>
      <c r="B582" s="7" t="n">
        <v>46204</v>
      </c>
      <c r="C582" s="1" t="s">
        <v>183</v>
      </c>
      <c r="D582" s="1" t="s">
        <v>178</v>
      </c>
      <c r="E582" s="1" t="s">
        <v>180</v>
      </c>
      <c r="F582" s="1" t="n">
        <v>115000</v>
      </c>
      <c r="G582" s="1" t="n">
        <v>115000</v>
      </c>
      <c r="H582" s="1" t="str">
        <f aca="false">IF(ABS(F582-G582)&lt;=0.01,"PASS","CHECK")</f>
        <v>PASS</v>
      </c>
    </row>
    <row r="583" customFormat="false" ht="15" hidden="false" customHeight="true" outlineLevel="0" collapsed="false">
      <c r="A583" s="1" t="s">
        <v>101</v>
      </c>
      <c r="B583" s="7" t="n">
        <v>46235</v>
      </c>
      <c r="C583" s="1" t="s">
        <v>184</v>
      </c>
      <c r="D583" s="1" t="s">
        <v>185</v>
      </c>
      <c r="E583" s="1" t="s">
        <v>178</v>
      </c>
      <c r="F583" s="1" t="n">
        <v>30569.9</v>
      </c>
      <c r="G583" s="1" t="n">
        <v>30569.9</v>
      </c>
      <c r="H583" s="1" t="str">
        <f aca="false">IF(ABS(F583-G583)&lt;=0.01,"PASS","CHECK")</f>
        <v>PASS</v>
      </c>
    </row>
    <row r="584" customFormat="false" ht="15" hidden="false" customHeight="true" outlineLevel="0" collapsed="false">
      <c r="A584" s="1" t="s">
        <v>101</v>
      </c>
      <c r="B584" s="7" t="n">
        <v>46235</v>
      </c>
      <c r="C584" s="1" t="s">
        <v>183</v>
      </c>
      <c r="D584" s="1" t="s">
        <v>178</v>
      </c>
      <c r="E584" s="1" t="s">
        <v>180</v>
      </c>
      <c r="F584" s="1" t="n">
        <v>115000</v>
      </c>
      <c r="G584" s="1" t="n">
        <v>115000</v>
      </c>
      <c r="H584" s="1" t="str">
        <f aca="false">IF(ABS(F584-G584)&lt;=0.01,"PASS","CHECK")</f>
        <v>PASS</v>
      </c>
    </row>
    <row r="585" customFormat="false" ht="15" hidden="false" customHeight="true" outlineLevel="0" collapsed="false">
      <c r="A585" s="1" t="s">
        <v>101</v>
      </c>
      <c r="B585" s="7" t="n">
        <v>46266</v>
      </c>
      <c r="C585" s="1" t="s">
        <v>184</v>
      </c>
      <c r="D585" s="1" t="s">
        <v>185</v>
      </c>
      <c r="E585" s="1" t="s">
        <v>178</v>
      </c>
      <c r="F585" s="1" t="n">
        <v>29850.89</v>
      </c>
      <c r="G585" s="1" t="n">
        <v>29850.89</v>
      </c>
      <c r="H585" s="1" t="str">
        <f aca="false">IF(ABS(F585-G585)&lt;=0.01,"PASS","CHECK")</f>
        <v>PASS</v>
      </c>
    </row>
    <row r="586" customFormat="false" ht="15" hidden="false" customHeight="true" outlineLevel="0" collapsed="false">
      <c r="A586" s="1" t="s">
        <v>101</v>
      </c>
      <c r="B586" s="7" t="n">
        <v>46266</v>
      </c>
      <c r="C586" s="1" t="s">
        <v>183</v>
      </c>
      <c r="D586" s="1" t="s">
        <v>178</v>
      </c>
      <c r="E586" s="1" t="s">
        <v>180</v>
      </c>
      <c r="F586" s="1" t="n">
        <v>115000</v>
      </c>
      <c r="G586" s="1" t="n">
        <v>115000</v>
      </c>
      <c r="H586" s="1" t="str">
        <f aca="false">IF(ABS(F586-G586)&lt;=0.01,"PASS","CHECK")</f>
        <v>PASS</v>
      </c>
    </row>
    <row r="587" customFormat="false" ht="15" hidden="false" customHeight="true" outlineLevel="0" collapsed="false">
      <c r="A587" s="1" t="s">
        <v>101</v>
      </c>
      <c r="B587" s="7" t="n">
        <v>46271</v>
      </c>
      <c r="C587" s="1" t="s">
        <v>200</v>
      </c>
      <c r="D587" s="1" t="s">
        <v>185</v>
      </c>
      <c r="E587" s="1" t="s">
        <v>178</v>
      </c>
      <c r="F587" s="1" t="n">
        <v>4681.01</v>
      </c>
      <c r="G587" s="1" t="n">
        <v>4681.01</v>
      </c>
      <c r="H587" s="1" t="str">
        <f aca="false">IF(ABS(F587-G587)&lt;=0.01,"PASS","CHECK")</f>
        <v>PASS</v>
      </c>
    </row>
    <row r="588" customFormat="false" ht="15" hidden="false" customHeight="true" outlineLevel="0" collapsed="false">
      <c r="A588" s="1" t="s">
        <v>101</v>
      </c>
      <c r="B588" s="7" t="n">
        <v>45809</v>
      </c>
      <c r="C588" s="1" t="s">
        <v>149</v>
      </c>
      <c r="D588" s="1" t="s">
        <v>186</v>
      </c>
      <c r="E588" s="1" t="s">
        <v>187</v>
      </c>
      <c r="F588" s="1" t="n">
        <v>101497.19</v>
      </c>
      <c r="G588" s="1" t="n">
        <v>101497.19</v>
      </c>
      <c r="H588" s="1" t="str">
        <f aca="false">IF(ABS(F588-G588)&lt;=0.01,"PASS","CHECK")</f>
        <v>PASS</v>
      </c>
    </row>
    <row r="589" customFormat="false" ht="15" hidden="false" customHeight="true" outlineLevel="0" collapsed="false">
      <c r="A589" s="1" t="s">
        <v>101</v>
      </c>
      <c r="B589" s="7" t="n">
        <v>45839</v>
      </c>
      <c r="C589" s="1" t="s">
        <v>149</v>
      </c>
      <c r="D589" s="1" t="s">
        <v>186</v>
      </c>
      <c r="E589" s="1" t="s">
        <v>187</v>
      </c>
      <c r="F589" s="1" t="n">
        <v>101497.19</v>
      </c>
      <c r="G589" s="1" t="n">
        <v>101497.19</v>
      </c>
      <c r="H589" s="1" t="str">
        <f aca="false">IF(ABS(F589-G589)&lt;=0.01,"PASS","CHECK")</f>
        <v>PASS</v>
      </c>
    </row>
    <row r="590" customFormat="false" ht="15" hidden="false" customHeight="true" outlineLevel="0" collapsed="false">
      <c r="A590" s="1" t="s">
        <v>101</v>
      </c>
      <c r="B590" s="7" t="n">
        <v>45870</v>
      </c>
      <c r="C590" s="1" t="s">
        <v>149</v>
      </c>
      <c r="D590" s="1" t="s">
        <v>186</v>
      </c>
      <c r="E590" s="1" t="s">
        <v>187</v>
      </c>
      <c r="F590" s="1" t="n">
        <v>101497.19</v>
      </c>
      <c r="G590" s="1" t="n">
        <v>101497.19</v>
      </c>
      <c r="H590" s="1" t="str">
        <f aca="false">IF(ABS(F590-G590)&lt;=0.01,"PASS","CHECK")</f>
        <v>PASS</v>
      </c>
    </row>
    <row r="591" customFormat="false" ht="15" hidden="false" customHeight="true" outlineLevel="0" collapsed="false">
      <c r="A591" s="1" t="s">
        <v>101</v>
      </c>
      <c r="B591" s="7" t="n">
        <v>45901</v>
      </c>
      <c r="C591" s="1" t="s">
        <v>149</v>
      </c>
      <c r="D591" s="1" t="s">
        <v>186</v>
      </c>
      <c r="E591" s="1" t="s">
        <v>187</v>
      </c>
      <c r="F591" s="1" t="n">
        <v>101497.19</v>
      </c>
      <c r="G591" s="1" t="n">
        <v>101497.19</v>
      </c>
      <c r="H591" s="1" t="str">
        <f aca="false">IF(ABS(F591-G591)&lt;=0.01,"PASS","CHECK")</f>
        <v>PASS</v>
      </c>
    </row>
    <row r="592" customFormat="false" ht="15" hidden="false" customHeight="true" outlineLevel="0" collapsed="false">
      <c r="A592" s="1" t="s">
        <v>101</v>
      </c>
      <c r="B592" s="7" t="n">
        <v>45931</v>
      </c>
      <c r="C592" s="1" t="s">
        <v>149</v>
      </c>
      <c r="D592" s="1" t="s">
        <v>186</v>
      </c>
      <c r="E592" s="1" t="s">
        <v>187</v>
      </c>
      <c r="F592" s="1" t="n">
        <v>101497.19</v>
      </c>
      <c r="G592" s="1" t="n">
        <v>101497.19</v>
      </c>
      <c r="H592" s="1" t="str">
        <f aca="false">IF(ABS(F592-G592)&lt;=0.01,"PASS","CHECK")</f>
        <v>PASS</v>
      </c>
    </row>
    <row r="593" customFormat="false" ht="15" hidden="false" customHeight="true" outlineLevel="0" collapsed="false">
      <c r="A593" s="1" t="s">
        <v>101</v>
      </c>
      <c r="B593" s="7" t="n">
        <v>45962</v>
      </c>
      <c r="C593" s="1" t="s">
        <v>149</v>
      </c>
      <c r="D593" s="1" t="s">
        <v>186</v>
      </c>
      <c r="E593" s="1" t="s">
        <v>187</v>
      </c>
      <c r="F593" s="1" t="n">
        <v>101497.19</v>
      </c>
      <c r="G593" s="1" t="n">
        <v>101497.19</v>
      </c>
      <c r="H593" s="1" t="str">
        <f aca="false">IF(ABS(F593-G593)&lt;=0.01,"PASS","CHECK")</f>
        <v>PASS</v>
      </c>
    </row>
    <row r="594" customFormat="false" ht="15" hidden="false" customHeight="true" outlineLevel="0" collapsed="false">
      <c r="A594" s="1" t="s">
        <v>101</v>
      </c>
      <c r="B594" s="7" t="n">
        <v>45992</v>
      </c>
      <c r="C594" s="1" t="s">
        <v>149</v>
      </c>
      <c r="D594" s="1" t="s">
        <v>186</v>
      </c>
      <c r="E594" s="1" t="s">
        <v>187</v>
      </c>
      <c r="F594" s="1" t="n">
        <v>101497.19</v>
      </c>
      <c r="G594" s="1" t="n">
        <v>101497.19</v>
      </c>
      <c r="H594" s="1" t="str">
        <f aca="false">IF(ABS(F594-G594)&lt;=0.01,"PASS","CHECK")</f>
        <v>PASS</v>
      </c>
    </row>
    <row r="595" customFormat="false" ht="15" hidden="false" customHeight="true" outlineLevel="0" collapsed="false">
      <c r="A595" s="1" t="s">
        <v>101</v>
      </c>
      <c r="B595" s="7" t="n">
        <v>46023</v>
      </c>
      <c r="C595" s="1" t="s">
        <v>149</v>
      </c>
      <c r="D595" s="1" t="s">
        <v>186</v>
      </c>
      <c r="E595" s="1" t="s">
        <v>187</v>
      </c>
      <c r="F595" s="1" t="n">
        <v>101497.19</v>
      </c>
      <c r="G595" s="1" t="n">
        <v>101497.19</v>
      </c>
      <c r="H595" s="1" t="str">
        <f aca="false">IF(ABS(F595-G595)&lt;=0.01,"PASS","CHECK")</f>
        <v>PASS</v>
      </c>
    </row>
    <row r="596" customFormat="false" ht="15" hidden="false" customHeight="true" outlineLevel="0" collapsed="false">
      <c r="A596" s="1" t="s">
        <v>101</v>
      </c>
      <c r="B596" s="7" t="n">
        <v>46054</v>
      </c>
      <c r="C596" s="1" t="s">
        <v>149</v>
      </c>
      <c r="D596" s="1" t="s">
        <v>186</v>
      </c>
      <c r="E596" s="1" t="s">
        <v>187</v>
      </c>
      <c r="F596" s="1" t="n">
        <v>101497.19</v>
      </c>
      <c r="G596" s="1" t="n">
        <v>101497.19</v>
      </c>
      <c r="H596" s="1" t="str">
        <f aca="false">IF(ABS(F596-G596)&lt;=0.01,"PASS","CHECK")</f>
        <v>PASS</v>
      </c>
    </row>
    <row r="597" customFormat="false" ht="15" hidden="false" customHeight="true" outlineLevel="0" collapsed="false">
      <c r="A597" s="1" t="s">
        <v>101</v>
      </c>
      <c r="B597" s="7" t="n">
        <v>46082</v>
      </c>
      <c r="C597" s="1" t="s">
        <v>149</v>
      </c>
      <c r="D597" s="1" t="s">
        <v>186</v>
      </c>
      <c r="E597" s="1" t="s">
        <v>187</v>
      </c>
      <c r="F597" s="1" t="n">
        <v>101497.19</v>
      </c>
      <c r="G597" s="1" t="n">
        <v>101497.19</v>
      </c>
      <c r="H597" s="1" t="str">
        <f aca="false">IF(ABS(F597-G597)&lt;=0.01,"PASS","CHECK")</f>
        <v>PASS</v>
      </c>
    </row>
    <row r="598" customFormat="false" ht="15" hidden="false" customHeight="true" outlineLevel="0" collapsed="false">
      <c r="A598" s="1" t="s">
        <v>101</v>
      </c>
      <c r="B598" s="7" t="n">
        <v>46113</v>
      </c>
      <c r="C598" s="1" t="s">
        <v>149</v>
      </c>
      <c r="D598" s="1" t="s">
        <v>186</v>
      </c>
      <c r="E598" s="1" t="s">
        <v>187</v>
      </c>
      <c r="F598" s="1" t="n">
        <v>101497.19</v>
      </c>
      <c r="G598" s="1" t="n">
        <v>101497.19</v>
      </c>
      <c r="H598" s="1" t="str">
        <f aca="false">IF(ABS(F598-G598)&lt;=0.01,"PASS","CHECK")</f>
        <v>PASS</v>
      </c>
    </row>
    <row r="599" customFormat="false" ht="15" hidden="false" customHeight="true" outlineLevel="0" collapsed="false">
      <c r="A599" s="1" t="s">
        <v>101</v>
      </c>
      <c r="B599" s="7" t="n">
        <v>46143</v>
      </c>
      <c r="C599" s="1" t="s">
        <v>149</v>
      </c>
      <c r="D599" s="1" t="s">
        <v>186</v>
      </c>
      <c r="E599" s="1" t="s">
        <v>187</v>
      </c>
      <c r="F599" s="1" t="n">
        <v>101497.19</v>
      </c>
      <c r="G599" s="1" t="n">
        <v>101497.19</v>
      </c>
      <c r="H599" s="1" t="str">
        <f aca="false">IF(ABS(F599-G599)&lt;=0.01,"PASS","CHECK")</f>
        <v>PASS</v>
      </c>
    </row>
    <row r="600" customFormat="false" ht="15" hidden="false" customHeight="true" outlineLevel="0" collapsed="false">
      <c r="A600" s="1" t="s">
        <v>101</v>
      </c>
      <c r="B600" s="7" t="n">
        <v>46174</v>
      </c>
      <c r="C600" s="1" t="s">
        <v>149</v>
      </c>
      <c r="D600" s="1" t="s">
        <v>186</v>
      </c>
      <c r="E600" s="1" t="s">
        <v>187</v>
      </c>
      <c r="F600" s="1" t="n">
        <v>101497.19</v>
      </c>
      <c r="G600" s="1" t="n">
        <v>101497.19</v>
      </c>
      <c r="H600" s="1" t="str">
        <f aca="false">IF(ABS(F600-G600)&lt;=0.01,"PASS","CHECK")</f>
        <v>PASS</v>
      </c>
    </row>
    <row r="601" customFormat="false" ht="15" hidden="false" customHeight="true" outlineLevel="0" collapsed="false">
      <c r="A601" s="1" t="s">
        <v>101</v>
      </c>
      <c r="B601" s="7" t="n">
        <v>46204</v>
      </c>
      <c r="C601" s="1" t="s">
        <v>149</v>
      </c>
      <c r="D601" s="1" t="s">
        <v>186</v>
      </c>
      <c r="E601" s="1" t="s">
        <v>187</v>
      </c>
      <c r="F601" s="1" t="n">
        <v>101497.19</v>
      </c>
      <c r="G601" s="1" t="n">
        <v>101497.19</v>
      </c>
      <c r="H601" s="1" t="str">
        <f aca="false">IF(ABS(F601-G601)&lt;=0.01,"PASS","CHECK")</f>
        <v>PASS</v>
      </c>
    </row>
    <row r="602" customFormat="false" ht="15" hidden="false" customHeight="true" outlineLevel="0" collapsed="false">
      <c r="A602" s="1" t="s">
        <v>101</v>
      </c>
      <c r="B602" s="7" t="n">
        <v>46235</v>
      </c>
      <c r="C602" s="1" t="s">
        <v>149</v>
      </c>
      <c r="D602" s="1" t="s">
        <v>186</v>
      </c>
      <c r="E602" s="1" t="s">
        <v>187</v>
      </c>
      <c r="F602" s="1" t="n">
        <v>101497.19</v>
      </c>
      <c r="G602" s="1" t="n">
        <v>101497.19</v>
      </c>
      <c r="H602" s="1" t="str">
        <f aca="false">IF(ABS(F602-G602)&lt;=0.01,"PASS","CHECK")</f>
        <v>PASS</v>
      </c>
    </row>
    <row r="603" customFormat="false" ht="15" hidden="false" customHeight="true" outlineLevel="0" collapsed="false">
      <c r="A603" s="1" t="s">
        <v>101</v>
      </c>
      <c r="B603" s="7" t="n">
        <v>46266</v>
      </c>
      <c r="C603" s="1" t="s">
        <v>149</v>
      </c>
      <c r="D603" s="1" t="s">
        <v>186</v>
      </c>
      <c r="E603" s="1" t="s">
        <v>187</v>
      </c>
      <c r="F603" s="1" t="n">
        <v>101497.19</v>
      </c>
      <c r="G603" s="1" t="n">
        <v>101497.19</v>
      </c>
      <c r="H603" s="1" t="str">
        <f aca="false">IF(ABS(F603-G603)&lt;=0.01,"PASS","CHECK")</f>
        <v>PASS</v>
      </c>
    </row>
    <row r="604" customFormat="false" ht="15" hidden="false" customHeight="true" outlineLevel="0" collapsed="false">
      <c r="A604" s="1" t="s">
        <v>101</v>
      </c>
      <c r="B604" s="7" t="s">
        <v>207</v>
      </c>
      <c r="C604" s="1" t="s">
        <v>188</v>
      </c>
      <c r="D604" s="1" t="s">
        <v>189</v>
      </c>
      <c r="E604" s="1" t="s">
        <v>180</v>
      </c>
      <c r="F604" s="1" t="n">
        <v>79209.37</v>
      </c>
      <c r="G604" s="1" t="n">
        <v>79209.37</v>
      </c>
      <c r="H604" s="1" t="str">
        <f aca="false">IF(ABS(F604-G604)&lt;=0.01,"PASS","CHECK")</f>
        <v>PASS</v>
      </c>
    </row>
    <row r="605" customFormat="false" ht="15" hidden="false" customHeight="true" outlineLevel="0" collapsed="false">
      <c r="A605" s="1" t="s">
        <v>101</v>
      </c>
      <c r="B605" s="7" t="s">
        <v>207</v>
      </c>
      <c r="C605" s="1" t="s">
        <v>190</v>
      </c>
      <c r="D605" s="1" t="s">
        <v>177</v>
      </c>
      <c r="E605" s="1" t="s">
        <v>180</v>
      </c>
      <c r="F605" s="1" t="n">
        <v>20790.63</v>
      </c>
      <c r="G605" s="1" t="n">
        <v>20790.63</v>
      </c>
      <c r="H605" s="1" t="str">
        <f aca="false">IF(ABS(F605-G605)&lt;=0.01,"PASS","CHECK")</f>
        <v>PASS</v>
      </c>
    </row>
    <row r="606" customFormat="false" ht="15" hidden="false" customHeight="true" outlineLevel="0" collapsed="false">
      <c r="A606" s="1" t="s">
        <v>101</v>
      </c>
      <c r="B606" s="7" t="n">
        <v>45839</v>
      </c>
      <c r="C606" s="1" t="s">
        <v>191</v>
      </c>
      <c r="D606" s="1" t="s">
        <v>189</v>
      </c>
      <c r="E606" s="1" t="s">
        <v>156</v>
      </c>
      <c r="F606" s="1" t="n">
        <v>380.26</v>
      </c>
      <c r="G606" s="1" t="n">
        <v>380.26</v>
      </c>
      <c r="H606" s="1" t="str">
        <f aca="false">IF(ABS(F606-G606)&lt;=0.01,"PASS","CHECK")</f>
        <v>PASS</v>
      </c>
    </row>
    <row r="607" customFormat="false" ht="15" hidden="false" customHeight="true" outlineLevel="0" collapsed="false">
      <c r="A607" s="1" t="s">
        <v>101</v>
      </c>
      <c r="B607" s="7" t="n">
        <v>45870</v>
      </c>
      <c r="C607" s="1" t="s">
        <v>191</v>
      </c>
      <c r="D607" s="1" t="s">
        <v>189</v>
      </c>
      <c r="E607" s="1" t="s">
        <v>156</v>
      </c>
      <c r="F607" s="1" t="n">
        <v>394.85</v>
      </c>
      <c r="G607" s="1" t="n">
        <v>394.85</v>
      </c>
      <c r="H607" s="1" t="str">
        <f aca="false">IF(ABS(F607-G607)&lt;=0.01,"PASS","CHECK")</f>
        <v>PASS</v>
      </c>
    </row>
    <row r="608" customFormat="false" ht="15" hidden="false" customHeight="true" outlineLevel="0" collapsed="false">
      <c r="A608" s="1" t="s">
        <v>101</v>
      </c>
      <c r="B608" s="7" t="n">
        <v>45901</v>
      </c>
      <c r="C608" s="1" t="s">
        <v>191</v>
      </c>
      <c r="D608" s="1" t="s">
        <v>189</v>
      </c>
      <c r="E608" s="1" t="s">
        <v>156</v>
      </c>
      <c r="F608" s="1" t="n">
        <v>396.81</v>
      </c>
      <c r="G608" s="1" t="n">
        <v>396.81</v>
      </c>
      <c r="H608" s="1" t="str">
        <f aca="false">IF(ABS(F608-G608)&lt;=0.01,"PASS","CHECK")</f>
        <v>PASS</v>
      </c>
    </row>
    <row r="609" customFormat="false" ht="15" hidden="false" customHeight="true" outlineLevel="0" collapsed="false">
      <c r="A609" s="1" t="s">
        <v>101</v>
      </c>
      <c r="B609" s="7" t="n">
        <v>45931</v>
      </c>
      <c r="C609" s="1" t="s">
        <v>191</v>
      </c>
      <c r="D609" s="1" t="s">
        <v>189</v>
      </c>
      <c r="E609" s="1" t="s">
        <v>156</v>
      </c>
      <c r="F609" s="1" t="n">
        <v>385.89</v>
      </c>
      <c r="G609" s="1" t="n">
        <v>385.89</v>
      </c>
      <c r="H609" s="1" t="str">
        <f aca="false">IF(ABS(F609-G609)&lt;=0.01,"PASS","CHECK")</f>
        <v>PASS</v>
      </c>
    </row>
    <row r="610" customFormat="false" ht="15" hidden="false" customHeight="true" outlineLevel="0" collapsed="false">
      <c r="A610" s="1" t="s">
        <v>101</v>
      </c>
      <c r="B610" s="7" t="n">
        <v>45962</v>
      </c>
      <c r="C610" s="1" t="s">
        <v>191</v>
      </c>
      <c r="D610" s="1" t="s">
        <v>189</v>
      </c>
      <c r="E610" s="1" t="s">
        <v>156</v>
      </c>
      <c r="F610" s="1" t="n">
        <v>400.7</v>
      </c>
      <c r="G610" s="1" t="n">
        <v>400.7</v>
      </c>
      <c r="H610" s="1" t="str">
        <f aca="false">IF(ABS(F610-G610)&lt;=0.01,"PASS","CHECK")</f>
        <v>PASS</v>
      </c>
    </row>
    <row r="611" customFormat="false" ht="15" hidden="false" customHeight="true" outlineLevel="0" collapsed="false">
      <c r="A611" s="1" t="s">
        <v>101</v>
      </c>
      <c r="B611" s="7" t="n">
        <v>45992</v>
      </c>
      <c r="C611" s="1" t="s">
        <v>191</v>
      </c>
      <c r="D611" s="1" t="s">
        <v>189</v>
      </c>
      <c r="E611" s="1" t="s">
        <v>156</v>
      </c>
      <c r="F611" s="1" t="n">
        <v>389.66</v>
      </c>
      <c r="G611" s="1" t="n">
        <v>389.66</v>
      </c>
      <c r="H611" s="1" t="str">
        <f aca="false">IF(ABS(F611-G611)&lt;=0.01,"PASS","CHECK")</f>
        <v>PASS</v>
      </c>
    </row>
    <row r="612" customFormat="false" ht="15" hidden="false" customHeight="true" outlineLevel="0" collapsed="false">
      <c r="A612" s="1" t="s">
        <v>101</v>
      </c>
      <c r="B612" s="7" t="n">
        <v>46023</v>
      </c>
      <c r="C612" s="1" t="s">
        <v>191</v>
      </c>
      <c r="D612" s="1" t="s">
        <v>189</v>
      </c>
      <c r="E612" s="1" t="s">
        <v>156</v>
      </c>
      <c r="F612" s="1" t="n">
        <v>404.62</v>
      </c>
      <c r="G612" s="1" t="n">
        <v>404.62</v>
      </c>
      <c r="H612" s="1" t="str">
        <f aca="false">IF(ABS(F612-G612)&lt;=0.01,"PASS","CHECK")</f>
        <v>PASS</v>
      </c>
    </row>
    <row r="613" customFormat="false" ht="15" hidden="false" customHeight="true" outlineLevel="0" collapsed="false">
      <c r="A613" s="1" t="s">
        <v>101</v>
      </c>
      <c r="B613" s="7" t="n">
        <v>46054</v>
      </c>
      <c r="C613" s="1" t="s">
        <v>191</v>
      </c>
      <c r="D613" s="1" t="s">
        <v>189</v>
      </c>
      <c r="E613" s="1" t="s">
        <v>156</v>
      </c>
      <c r="F613" s="1" t="n">
        <v>406.63</v>
      </c>
      <c r="G613" s="1" t="n">
        <v>406.63</v>
      </c>
      <c r="H613" s="1" t="str">
        <f aca="false">IF(ABS(F613-G613)&lt;=0.01,"PASS","CHECK")</f>
        <v>PASS</v>
      </c>
    </row>
    <row r="614" customFormat="false" ht="15" hidden="false" customHeight="true" outlineLevel="0" collapsed="false">
      <c r="A614" s="1" t="s">
        <v>101</v>
      </c>
      <c r="B614" s="7" t="n">
        <v>46082</v>
      </c>
      <c r="C614" s="1" t="s">
        <v>191</v>
      </c>
      <c r="D614" s="1" t="s">
        <v>189</v>
      </c>
      <c r="E614" s="1" t="s">
        <v>156</v>
      </c>
      <c r="F614" s="1" t="n">
        <v>369.01</v>
      </c>
      <c r="G614" s="1" t="n">
        <v>369.01</v>
      </c>
      <c r="H614" s="1" t="str">
        <f aca="false">IF(ABS(F614-G614)&lt;=0.01,"PASS","CHECK")</f>
        <v>PASS</v>
      </c>
    </row>
    <row r="615" customFormat="false" ht="15" hidden="false" customHeight="true" outlineLevel="0" collapsed="false">
      <c r="A615" s="1" t="s">
        <v>101</v>
      </c>
      <c r="B615" s="7" t="n">
        <v>46113</v>
      </c>
      <c r="C615" s="1" t="s">
        <v>191</v>
      </c>
      <c r="D615" s="1" t="s">
        <v>189</v>
      </c>
      <c r="E615" s="1" t="s">
        <v>156</v>
      </c>
      <c r="F615" s="1" t="n">
        <v>410.47</v>
      </c>
      <c r="G615" s="1" t="n">
        <v>410.47</v>
      </c>
      <c r="H615" s="1" t="str">
        <f aca="false">IF(ABS(F615-G615)&lt;=0.01,"PASS","CHECK")</f>
        <v>PASS</v>
      </c>
    </row>
    <row r="616" customFormat="false" ht="15" hidden="false" customHeight="true" outlineLevel="0" collapsed="false">
      <c r="A616" s="1" t="s">
        <v>101</v>
      </c>
      <c r="B616" s="7" t="n">
        <v>46143</v>
      </c>
      <c r="C616" s="1" t="s">
        <v>191</v>
      </c>
      <c r="D616" s="1" t="s">
        <v>189</v>
      </c>
      <c r="E616" s="1" t="s">
        <v>156</v>
      </c>
      <c r="F616" s="1" t="n">
        <v>399.17</v>
      </c>
      <c r="G616" s="1" t="n">
        <v>399.17</v>
      </c>
      <c r="H616" s="1" t="str">
        <f aca="false">IF(ABS(F616-G616)&lt;=0.01,"PASS","CHECK")</f>
        <v>PASS</v>
      </c>
    </row>
    <row r="617" customFormat="false" ht="15" hidden="false" customHeight="true" outlineLevel="0" collapsed="false">
      <c r="A617" s="1" t="s">
        <v>101</v>
      </c>
      <c r="B617" s="7" t="n">
        <v>46174</v>
      </c>
      <c r="C617" s="1" t="s">
        <v>191</v>
      </c>
      <c r="D617" s="1" t="s">
        <v>189</v>
      </c>
      <c r="E617" s="1" t="s">
        <v>156</v>
      </c>
      <c r="F617" s="1" t="n">
        <v>414.49</v>
      </c>
      <c r="G617" s="1" t="n">
        <v>414.49</v>
      </c>
      <c r="H617" s="1" t="str">
        <f aca="false">IF(ABS(F617-G617)&lt;=0.01,"PASS","CHECK")</f>
        <v>PASS</v>
      </c>
    </row>
    <row r="618" customFormat="false" ht="15" hidden="false" customHeight="true" outlineLevel="0" collapsed="false">
      <c r="A618" s="1" t="s">
        <v>101</v>
      </c>
      <c r="B618" s="7" t="n">
        <v>46204</v>
      </c>
      <c r="C618" s="1" t="s">
        <v>191</v>
      </c>
      <c r="D618" s="1" t="s">
        <v>189</v>
      </c>
      <c r="E618" s="1" t="s">
        <v>156</v>
      </c>
      <c r="F618" s="1" t="n">
        <v>403.08</v>
      </c>
      <c r="G618" s="1" t="n">
        <v>403.08</v>
      </c>
      <c r="H618" s="1" t="str">
        <f aca="false">IF(ABS(F618-G618)&lt;=0.01,"PASS","CHECK")</f>
        <v>PASS</v>
      </c>
    </row>
    <row r="619" customFormat="false" ht="15" hidden="false" customHeight="true" outlineLevel="0" collapsed="false">
      <c r="A619" s="1" t="s">
        <v>101</v>
      </c>
      <c r="B619" s="7" t="n">
        <v>46235</v>
      </c>
      <c r="C619" s="1" t="s">
        <v>191</v>
      </c>
      <c r="D619" s="1" t="s">
        <v>189</v>
      </c>
      <c r="E619" s="1" t="s">
        <v>156</v>
      </c>
      <c r="F619" s="1" t="n">
        <v>418.55</v>
      </c>
      <c r="G619" s="1" t="n">
        <v>418.55</v>
      </c>
      <c r="H619" s="1" t="str">
        <f aca="false">IF(ABS(F619-G619)&lt;=0.01,"PASS","CHECK")</f>
        <v>PASS</v>
      </c>
    </row>
    <row r="620" customFormat="false" ht="15" hidden="false" customHeight="true" outlineLevel="0" collapsed="false">
      <c r="A620" s="1" t="s">
        <v>101</v>
      </c>
      <c r="B620" s="7" t="n">
        <v>46266</v>
      </c>
      <c r="C620" s="1" t="s">
        <v>191</v>
      </c>
      <c r="D620" s="1" t="s">
        <v>189</v>
      </c>
      <c r="E620" s="1" t="s">
        <v>156</v>
      </c>
      <c r="F620" s="1" t="n">
        <v>420.62</v>
      </c>
      <c r="G620" s="1" t="n">
        <v>420.62</v>
      </c>
      <c r="H620" s="1" t="str">
        <f aca="false">IF(ABS(F620-G620)&lt;=0.01,"PASS","CHECK")</f>
        <v>PASS</v>
      </c>
    </row>
    <row r="621" customFormat="false" ht="15" hidden="false" customHeight="true" outlineLevel="0" collapsed="false">
      <c r="A621" s="1" t="s">
        <v>101</v>
      </c>
      <c r="B621" s="7" t="n">
        <v>46271</v>
      </c>
      <c r="C621" s="1" t="s">
        <v>191</v>
      </c>
      <c r="D621" s="1" t="s">
        <v>189</v>
      </c>
      <c r="E621" s="1" t="s">
        <v>156</v>
      </c>
      <c r="F621" s="1" t="n">
        <v>68.04</v>
      </c>
      <c r="G621" s="1" t="n">
        <v>68.04</v>
      </c>
      <c r="H621" s="1" t="str">
        <f aca="false">IF(ABS(F621-G621)&lt;=0.01,"PASS","CHECK")</f>
        <v>PASS</v>
      </c>
    </row>
    <row r="622" customFormat="false" ht="15" hidden="false" customHeight="true" outlineLevel="0" collapsed="false">
      <c r="A622" s="1" t="s">
        <v>101</v>
      </c>
      <c r="B622" s="7" t="n">
        <v>46174</v>
      </c>
      <c r="C622" s="1" t="s">
        <v>192</v>
      </c>
      <c r="D622" s="1" t="s">
        <v>193</v>
      </c>
      <c r="E622" s="1" t="s">
        <v>182</v>
      </c>
      <c r="F622" s="1" t="n">
        <v>38254.96</v>
      </c>
      <c r="G622" s="1" t="n">
        <v>38254.96</v>
      </c>
      <c r="H622" s="1" t="str">
        <f aca="false">IF(ABS(F622-G622)&lt;=0.01,"PASS","CHECK")</f>
        <v>PASS</v>
      </c>
    </row>
    <row r="623" customFormat="false" ht="15" hidden="false" customHeight="true" outlineLevel="0" collapsed="false">
      <c r="A623" s="1" t="s">
        <v>101</v>
      </c>
      <c r="B623" s="7" t="n">
        <v>46271</v>
      </c>
      <c r="C623" s="1" t="s">
        <v>192</v>
      </c>
      <c r="D623" s="1" t="s">
        <v>193</v>
      </c>
      <c r="E623" s="1" t="s">
        <v>182</v>
      </c>
      <c r="F623" s="1" t="n">
        <v>10733.17</v>
      </c>
      <c r="G623" s="1" t="n">
        <v>10733.17</v>
      </c>
      <c r="H623" s="1" t="str">
        <f aca="false">IF(ABS(F623-G623)&lt;=0.01,"PASS","CHECK")</f>
        <v>PASS</v>
      </c>
    </row>
    <row r="624" customFormat="false" ht="15" hidden="false" customHeight="true" outlineLevel="0" collapsed="false">
      <c r="A624" s="1" t="s">
        <v>101</v>
      </c>
      <c r="B624" s="7" t="n">
        <v>46271</v>
      </c>
      <c r="C624" s="1" t="s">
        <v>194</v>
      </c>
      <c r="D624" s="1" t="s">
        <v>195</v>
      </c>
      <c r="E624" s="1" t="s">
        <v>196</v>
      </c>
      <c r="F624" s="1" t="n">
        <v>852.72</v>
      </c>
      <c r="G624" s="1" t="n">
        <v>852.72</v>
      </c>
      <c r="H624" s="1" t="str">
        <f aca="false">IF(ABS(F624-G624)&lt;=0.01,"PASS","CHECK")</f>
        <v>PASS</v>
      </c>
    </row>
    <row r="625" customFormat="false" ht="15" hidden="false" customHeight="true" outlineLevel="0" collapsed="false">
      <c r="A625" s="1" t="s">
        <v>104</v>
      </c>
      <c r="B625" s="7" t="s">
        <v>208</v>
      </c>
      <c r="C625" s="1" t="s">
        <v>176</v>
      </c>
      <c r="D625" s="1" t="s">
        <v>177</v>
      </c>
      <c r="E625" s="1" t="s">
        <v>178</v>
      </c>
      <c r="F625" s="1" t="n">
        <v>8629894.81</v>
      </c>
      <c r="G625" s="1" t="n">
        <v>8629894.81</v>
      </c>
      <c r="H625" s="1" t="str">
        <f aca="false">IF(ABS(F625-G625)&lt;=0.01,"PASS","CHECK")</f>
        <v>PASS</v>
      </c>
    </row>
    <row r="626" customFormat="false" ht="15" hidden="false" customHeight="true" outlineLevel="0" collapsed="false">
      <c r="A626" s="1" t="s">
        <v>104</v>
      </c>
      <c r="B626" s="7" t="s">
        <v>208</v>
      </c>
      <c r="C626" s="1" t="s">
        <v>181</v>
      </c>
      <c r="D626" s="1" t="s">
        <v>177</v>
      </c>
      <c r="E626" s="1" t="s">
        <v>182</v>
      </c>
      <c r="F626" s="1" t="n">
        <v>476408.24</v>
      </c>
      <c r="G626" s="1" t="n">
        <v>476408.24</v>
      </c>
      <c r="H626" s="1" t="str">
        <f aca="false">IF(ABS(F626-G626)&lt;=0.01,"PASS","CHECK")</f>
        <v>PASS</v>
      </c>
    </row>
    <row r="627" customFormat="false" ht="15" hidden="false" customHeight="true" outlineLevel="0" collapsed="false">
      <c r="A627" s="1" t="s">
        <v>104</v>
      </c>
      <c r="B627" s="7" t="n">
        <v>45383</v>
      </c>
      <c r="C627" s="1" t="s">
        <v>183</v>
      </c>
      <c r="D627" s="1" t="s">
        <v>178</v>
      </c>
      <c r="E627" s="1" t="s">
        <v>180</v>
      </c>
      <c r="F627" s="1" t="n">
        <v>500000</v>
      </c>
      <c r="G627" s="1" t="n">
        <v>500000</v>
      </c>
      <c r="H627" s="1" t="str">
        <f aca="false">IF(ABS(F627-G627)&lt;=0.01,"PASS","CHECK")</f>
        <v>PASS</v>
      </c>
    </row>
    <row r="628" customFormat="false" ht="15" hidden="false" customHeight="true" outlineLevel="0" collapsed="false">
      <c r="A628" s="1" t="s">
        <v>104</v>
      </c>
      <c r="B628" s="7" t="n">
        <v>45474</v>
      </c>
      <c r="C628" s="1" t="s">
        <v>184</v>
      </c>
      <c r="D628" s="1" t="s">
        <v>185</v>
      </c>
      <c r="E628" s="1" t="s">
        <v>178</v>
      </c>
      <c r="F628" s="1" t="n">
        <v>181309.75</v>
      </c>
      <c r="G628" s="1" t="n">
        <v>181309.75</v>
      </c>
      <c r="H628" s="1" t="str">
        <f aca="false">IF(ABS(F628-G628)&lt;=0.01,"PASS","CHECK")</f>
        <v>PASS</v>
      </c>
    </row>
    <row r="629" customFormat="false" ht="15" hidden="false" customHeight="true" outlineLevel="0" collapsed="false">
      <c r="A629" s="1" t="s">
        <v>104</v>
      </c>
      <c r="B629" s="7" t="n">
        <v>45474</v>
      </c>
      <c r="C629" s="1" t="s">
        <v>183</v>
      </c>
      <c r="D629" s="1" t="s">
        <v>178</v>
      </c>
      <c r="E629" s="1" t="s">
        <v>180</v>
      </c>
      <c r="F629" s="1" t="n">
        <v>500000</v>
      </c>
      <c r="G629" s="1" t="n">
        <v>500000</v>
      </c>
      <c r="H629" s="1" t="str">
        <f aca="false">IF(ABS(F629-G629)&lt;=0.01,"PASS","CHECK")</f>
        <v>PASS</v>
      </c>
    </row>
    <row r="630" customFormat="false" ht="15" hidden="false" customHeight="true" outlineLevel="0" collapsed="false">
      <c r="A630" s="1" t="s">
        <v>104</v>
      </c>
      <c r="B630" s="7" t="n">
        <v>45566</v>
      </c>
      <c r="C630" s="1" t="s">
        <v>184</v>
      </c>
      <c r="D630" s="1" t="s">
        <v>185</v>
      </c>
      <c r="E630" s="1" t="s">
        <v>178</v>
      </c>
      <c r="F630" s="1" t="n">
        <v>176138.19</v>
      </c>
      <c r="G630" s="1" t="n">
        <v>176138.19</v>
      </c>
      <c r="H630" s="1" t="str">
        <f aca="false">IF(ABS(F630-G630)&lt;=0.01,"PASS","CHECK")</f>
        <v>PASS</v>
      </c>
    </row>
    <row r="631" customFormat="false" ht="15" hidden="false" customHeight="true" outlineLevel="0" collapsed="false">
      <c r="A631" s="1" t="s">
        <v>104</v>
      </c>
      <c r="B631" s="7" t="n">
        <v>45566</v>
      </c>
      <c r="C631" s="1" t="s">
        <v>183</v>
      </c>
      <c r="D631" s="1" t="s">
        <v>178</v>
      </c>
      <c r="E631" s="1" t="s">
        <v>180</v>
      </c>
      <c r="F631" s="1" t="n">
        <v>500000</v>
      </c>
      <c r="G631" s="1" t="n">
        <v>500000</v>
      </c>
      <c r="H631" s="1" t="str">
        <f aca="false">IF(ABS(F631-G631)&lt;=0.01,"PASS","CHECK")</f>
        <v>PASS</v>
      </c>
    </row>
    <row r="632" customFormat="false" ht="15" hidden="false" customHeight="true" outlineLevel="0" collapsed="false">
      <c r="A632" s="1" t="s">
        <v>104</v>
      </c>
      <c r="B632" s="7" t="n">
        <v>45658</v>
      </c>
      <c r="C632" s="1" t="s">
        <v>184</v>
      </c>
      <c r="D632" s="1" t="s">
        <v>185</v>
      </c>
      <c r="E632" s="1" t="s">
        <v>178</v>
      </c>
      <c r="F632" s="1" t="n">
        <v>168835.29</v>
      </c>
      <c r="G632" s="1" t="n">
        <v>168835.29</v>
      </c>
      <c r="H632" s="1" t="str">
        <f aca="false">IF(ABS(F632-G632)&lt;=0.01,"PASS","CHECK")</f>
        <v>PASS</v>
      </c>
    </row>
    <row r="633" customFormat="false" ht="15" hidden="false" customHeight="true" outlineLevel="0" collapsed="false">
      <c r="A633" s="1" t="s">
        <v>104</v>
      </c>
      <c r="B633" s="7" t="n">
        <v>45658</v>
      </c>
      <c r="C633" s="1" t="s">
        <v>183</v>
      </c>
      <c r="D633" s="1" t="s">
        <v>178</v>
      </c>
      <c r="E633" s="1" t="s">
        <v>180</v>
      </c>
      <c r="F633" s="1" t="n">
        <v>500000</v>
      </c>
      <c r="G633" s="1" t="n">
        <v>500000</v>
      </c>
      <c r="H633" s="1" t="str">
        <f aca="false">IF(ABS(F633-G633)&lt;=0.01,"PASS","CHECK")</f>
        <v>PASS</v>
      </c>
    </row>
    <row r="634" customFormat="false" ht="15" hidden="false" customHeight="true" outlineLevel="0" collapsed="false">
      <c r="A634" s="1" t="s">
        <v>104</v>
      </c>
      <c r="B634" s="7" t="n">
        <v>45748</v>
      </c>
      <c r="C634" s="1" t="s">
        <v>184</v>
      </c>
      <c r="D634" s="1" t="s">
        <v>185</v>
      </c>
      <c r="E634" s="1" t="s">
        <v>178</v>
      </c>
      <c r="F634" s="1" t="n">
        <v>157821.32</v>
      </c>
      <c r="G634" s="1" t="n">
        <v>157821.32</v>
      </c>
      <c r="H634" s="1" t="str">
        <f aca="false">IF(ABS(F634-G634)&lt;=0.01,"PASS","CHECK")</f>
        <v>PASS</v>
      </c>
    </row>
    <row r="635" customFormat="false" ht="15" hidden="false" customHeight="true" outlineLevel="0" collapsed="false">
      <c r="A635" s="1" t="s">
        <v>104</v>
      </c>
      <c r="B635" s="7" t="n">
        <v>45748</v>
      </c>
      <c r="C635" s="1" t="s">
        <v>183</v>
      </c>
      <c r="D635" s="1" t="s">
        <v>178</v>
      </c>
      <c r="E635" s="1" t="s">
        <v>180</v>
      </c>
      <c r="F635" s="1" t="n">
        <v>515000</v>
      </c>
      <c r="G635" s="1" t="n">
        <v>515000</v>
      </c>
      <c r="H635" s="1" t="str">
        <f aca="false">IF(ABS(F635-G635)&lt;=0.01,"PASS","CHECK")</f>
        <v>PASS</v>
      </c>
    </row>
    <row r="636" customFormat="false" ht="15" hidden="false" customHeight="true" outlineLevel="0" collapsed="false">
      <c r="A636" s="1" t="s">
        <v>104</v>
      </c>
      <c r="B636" s="7" t="n">
        <v>45839</v>
      </c>
      <c r="C636" s="1" t="s">
        <v>184</v>
      </c>
      <c r="D636" s="1" t="s">
        <v>185</v>
      </c>
      <c r="E636" s="1" t="s">
        <v>178</v>
      </c>
      <c r="F636" s="1" t="n">
        <v>151628.64</v>
      </c>
      <c r="G636" s="1" t="n">
        <v>151628.64</v>
      </c>
      <c r="H636" s="1" t="str">
        <f aca="false">IF(ABS(F636-G636)&lt;=0.01,"PASS","CHECK")</f>
        <v>PASS</v>
      </c>
    </row>
    <row r="637" customFormat="false" ht="15" hidden="false" customHeight="true" outlineLevel="0" collapsed="false">
      <c r="A637" s="1" t="s">
        <v>104</v>
      </c>
      <c r="B637" s="7" t="n">
        <v>45839</v>
      </c>
      <c r="C637" s="1" t="s">
        <v>183</v>
      </c>
      <c r="D637" s="1" t="s">
        <v>178</v>
      </c>
      <c r="E637" s="1" t="s">
        <v>180</v>
      </c>
      <c r="F637" s="1" t="n">
        <v>515000</v>
      </c>
      <c r="G637" s="1" t="n">
        <v>515000</v>
      </c>
      <c r="H637" s="1" t="str">
        <f aca="false">IF(ABS(F637-G637)&lt;=0.01,"PASS","CHECK")</f>
        <v>PASS</v>
      </c>
    </row>
    <row r="638" customFormat="false" ht="15" hidden="false" customHeight="true" outlineLevel="0" collapsed="false">
      <c r="A638" s="1" t="s">
        <v>104</v>
      </c>
      <c r="B638" s="7" t="n">
        <v>45931</v>
      </c>
      <c r="C638" s="1" t="s">
        <v>184</v>
      </c>
      <c r="D638" s="1" t="s">
        <v>185</v>
      </c>
      <c r="E638" s="1" t="s">
        <v>178</v>
      </c>
      <c r="F638" s="1" t="n">
        <v>145119.72</v>
      </c>
      <c r="G638" s="1" t="n">
        <v>145119.72</v>
      </c>
      <c r="H638" s="1" t="str">
        <f aca="false">IF(ABS(F638-G638)&lt;=0.01,"PASS","CHECK")</f>
        <v>PASS</v>
      </c>
    </row>
    <row r="639" customFormat="false" ht="15" hidden="false" customHeight="true" outlineLevel="0" collapsed="false">
      <c r="A639" s="1" t="s">
        <v>104</v>
      </c>
      <c r="B639" s="7" t="n">
        <v>45931</v>
      </c>
      <c r="C639" s="1" t="s">
        <v>183</v>
      </c>
      <c r="D639" s="1" t="s">
        <v>178</v>
      </c>
      <c r="E639" s="1" t="s">
        <v>180</v>
      </c>
      <c r="F639" s="1" t="n">
        <v>515000</v>
      </c>
      <c r="G639" s="1" t="n">
        <v>515000</v>
      </c>
      <c r="H639" s="1" t="str">
        <f aca="false">IF(ABS(F639-G639)&lt;=0.01,"PASS","CHECK")</f>
        <v>PASS</v>
      </c>
    </row>
    <row r="640" customFormat="false" ht="15" hidden="false" customHeight="true" outlineLevel="0" collapsed="false">
      <c r="A640" s="1" t="s">
        <v>104</v>
      </c>
      <c r="B640" s="7" t="n">
        <v>46023</v>
      </c>
      <c r="C640" s="1" t="s">
        <v>184</v>
      </c>
      <c r="D640" s="1" t="s">
        <v>185</v>
      </c>
      <c r="E640" s="1" t="s">
        <v>178</v>
      </c>
      <c r="F640" s="1" t="n">
        <v>136779.13</v>
      </c>
      <c r="G640" s="1" t="n">
        <v>136779.13</v>
      </c>
      <c r="H640" s="1" t="str">
        <f aca="false">IF(ABS(F640-G640)&lt;=0.01,"PASS","CHECK")</f>
        <v>PASS</v>
      </c>
    </row>
    <row r="641" customFormat="false" ht="15" hidden="false" customHeight="true" outlineLevel="0" collapsed="false">
      <c r="A641" s="1" t="s">
        <v>104</v>
      </c>
      <c r="B641" s="7" t="n">
        <v>46023</v>
      </c>
      <c r="C641" s="1" t="s">
        <v>183</v>
      </c>
      <c r="D641" s="1" t="s">
        <v>178</v>
      </c>
      <c r="E641" s="1" t="s">
        <v>180</v>
      </c>
      <c r="F641" s="1" t="n">
        <v>515000</v>
      </c>
      <c r="G641" s="1" t="n">
        <v>515000</v>
      </c>
      <c r="H641" s="1" t="str">
        <f aca="false">IF(ABS(F641-G641)&lt;=0.01,"PASS","CHECK")</f>
        <v>PASS</v>
      </c>
    </row>
    <row r="642" customFormat="false" ht="15" hidden="false" customHeight="true" outlineLevel="0" collapsed="false">
      <c r="A642" s="1" t="s">
        <v>104</v>
      </c>
      <c r="B642" s="7" t="n">
        <v>46113</v>
      </c>
      <c r="C642" s="1" t="s">
        <v>184</v>
      </c>
      <c r="D642" s="1" t="s">
        <v>185</v>
      </c>
      <c r="E642" s="1" t="s">
        <v>178</v>
      </c>
      <c r="F642" s="1" t="n">
        <v>125431.9</v>
      </c>
      <c r="G642" s="1" t="n">
        <v>125431.9</v>
      </c>
      <c r="H642" s="1" t="str">
        <f aca="false">IF(ABS(F642-G642)&lt;=0.01,"PASS","CHECK")</f>
        <v>PASS</v>
      </c>
    </row>
    <row r="643" customFormat="false" ht="15" hidden="false" customHeight="true" outlineLevel="0" collapsed="false">
      <c r="A643" s="1" t="s">
        <v>104</v>
      </c>
      <c r="B643" s="7" t="n">
        <v>46113</v>
      </c>
      <c r="C643" s="1" t="s">
        <v>183</v>
      </c>
      <c r="D643" s="1" t="s">
        <v>178</v>
      </c>
      <c r="E643" s="1" t="s">
        <v>180</v>
      </c>
      <c r="F643" s="1" t="n">
        <v>530450</v>
      </c>
      <c r="G643" s="1" t="n">
        <v>530450</v>
      </c>
      <c r="H643" s="1" t="str">
        <f aca="false">IF(ABS(F643-G643)&lt;=0.01,"PASS","CHECK")</f>
        <v>PASS</v>
      </c>
    </row>
    <row r="644" customFormat="false" ht="15" hidden="false" customHeight="true" outlineLevel="0" collapsed="false">
      <c r="A644" s="1" t="s">
        <v>104</v>
      </c>
      <c r="B644" s="7" t="n">
        <v>46204</v>
      </c>
      <c r="C644" s="1" t="s">
        <v>184</v>
      </c>
      <c r="D644" s="1" t="s">
        <v>185</v>
      </c>
      <c r="E644" s="1" t="s">
        <v>178</v>
      </c>
      <c r="F644" s="1" t="n">
        <v>117808.46</v>
      </c>
      <c r="G644" s="1" t="n">
        <v>117808.46</v>
      </c>
      <c r="H644" s="1" t="str">
        <f aca="false">IF(ABS(F644-G644)&lt;=0.01,"PASS","CHECK")</f>
        <v>PASS</v>
      </c>
    </row>
    <row r="645" customFormat="false" ht="15" hidden="false" customHeight="true" outlineLevel="0" collapsed="false">
      <c r="A645" s="1" t="s">
        <v>104</v>
      </c>
      <c r="B645" s="7" t="n">
        <v>46204</v>
      </c>
      <c r="C645" s="1" t="s">
        <v>183</v>
      </c>
      <c r="D645" s="1" t="s">
        <v>178</v>
      </c>
      <c r="E645" s="1" t="s">
        <v>180</v>
      </c>
      <c r="F645" s="1" t="n">
        <v>530450</v>
      </c>
      <c r="G645" s="1" t="n">
        <v>530450</v>
      </c>
      <c r="H645" s="1" t="str">
        <f aca="false">IF(ABS(F645-G645)&lt;=0.01,"PASS","CHECK")</f>
        <v>PASS</v>
      </c>
    </row>
    <row r="646" customFormat="false" ht="15" hidden="false" customHeight="true" outlineLevel="0" collapsed="false">
      <c r="A646" s="1" t="s">
        <v>104</v>
      </c>
      <c r="B646" s="7" t="n">
        <v>46271</v>
      </c>
      <c r="C646" s="1" t="s">
        <v>200</v>
      </c>
      <c r="D646" s="1" t="s">
        <v>185</v>
      </c>
      <c r="E646" s="1" t="s">
        <v>178</v>
      </c>
      <c r="F646" s="1" t="n">
        <v>79729.6</v>
      </c>
      <c r="G646" s="1" t="n">
        <v>79729.6</v>
      </c>
      <c r="H646" s="1" t="str">
        <f aca="false">IF(ABS(F646-G646)&lt;=0.01,"PASS","CHECK")</f>
        <v>PASS</v>
      </c>
    </row>
    <row r="647" customFormat="false" ht="15" hidden="false" customHeight="true" outlineLevel="0" collapsed="false">
      <c r="A647" s="1" t="s">
        <v>104</v>
      </c>
      <c r="B647" s="7" t="n">
        <v>45383</v>
      </c>
      <c r="C647" s="1" t="s">
        <v>149</v>
      </c>
      <c r="D647" s="1" t="s">
        <v>186</v>
      </c>
      <c r="E647" s="1" t="s">
        <v>187</v>
      </c>
      <c r="F647" s="1" t="n">
        <v>152614.19</v>
      </c>
      <c r="G647" s="1" t="n">
        <v>152614.19</v>
      </c>
      <c r="H647" s="1" t="str">
        <f aca="false">IF(ABS(F647-G647)&lt;=0.01,"PASS","CHECK")</f>
        <v>PASS</v>
      </c>
    </row>
    <row r="648" customFormat="false" ht="15" hidden="false" customHeight="true" outlineLevel="0" collapsed="false">
      <c r="A648" s="1" t="s">
        <v>104</v>
      </c>
      <c r="B648" s="7" t="n">
        <v>45413</v>
      </c>
      <c r="C648" s="1" t="s">
        <v>149</v>
      </c>
      <c r="D648" s="1" t="s">
        <v>186</v>
      </c>
      <c r="E648" s="1" t="s">
        <v>187</v>
      </c>
      <c r="F648" s="1" t="n">
        <v>152614.19</v>
      </c>
      <c r="G648" s="1" t="n">
        <v>152614.19</v>
      </c>
      <c r="H648" s="1" t="str">
        <f aca="false">IF(ABS(F648-G648)&lt;=0.01,"PASS","CHECK")</f>
        <v>PASS</v>
      </c>
    </row>
    <row r="649" customFormat="false" ht="15" hidden="false" customHeight="true" outlineLevel="0" collapsed="false">
      <c r="A649" s="1" t="s">
        <v>104</v>
      </c>
      <c r="B649" s="7" t="n">
        <v>45444</v>
      </c>
      <c r="C649" s="1" t="s">
        <v>149</v>
      </c>
      <c r="D649" s="1" t="s">
        <v>186</v>
      </c>
      <c r="E649" s="1" t="s">
        <v>187</v>
      </c>
      <c r="F649" s="1" t="n">
        <v>152614.19</v>
      </c>
      <c r="G649" s="1" t="n">
        <v>152614.19</v>
      </c>
      <c r="H649" s="1" t="str">
        <f aca="false">IF(ABS(F649-G649)&lt;=0.01,"PASS","CHECK")</f>
        <v>PASS</v>
      </c>
    </row>
    <row r="650" customFormat="false" ht="15" hidden="false" customHeight="true" outlineLevel="0" collapsed="false">
      <c r="A650" s="1" t="s">
        <v>104</v>
      </c>
      <c r="B650" s="7" t="n">
        <v>45474</v>
      </c>
      <c r="C650" s="1" t="s">
        <v>149</v>
      </c>
      <c r="D650" s="1" t="s">
        <v>186</v>
      </c>
      <c r="E650" s="1" t="s">
        <v>187</v>
      </c>
      <c r="F650" s="1" t="n">
        <v>152614.19</v>
      </c>
      <c r="G650" s="1" t="n">
        <v>152614.19</v>
      </c>
      <c r="H650" s="1" t="str">
        <f aca="false">IF(ABS(F650-G650)&lt;=0.01,"PASS","CHECK")</f>
        <v>PASS</v>
      </c>
    </row>
    <row r="651" customFormat="false" ht="15" hidden="false" customHeight="true" outlineLevel="0" collapsed="false">
      <c r="A651" s="1" t="s">
        <v>104</v>
      </c>
      <c r="B651" s="7" t="n">
        <v>45505</v>
      </c>
      <c r="C651" s="1" t="s">
        <v>149</v>
      </c>
      <c r="D651" s="1" t="s">
        <v>186</v>
      </c>
      <c r="E651" s="1" t="s">
        <v>187</v>
      </c>
      <c r="F651" s="1" t="n">
        <v>152614.19</v>
      </c>
      <c r="G651" s="1" t="n">
        <v>152614.19</v>
      </c>
      <c r="H651" s="1" t="str">
        <f aca="false">IF(ABS(F651-G651)&lt;=0.01,"PASS","CHECK")</f>
        <v>PASS</v>
      </c>
    </row>
    <row r="652" customFormat="false" ht="15" hidden="false" customHeight="true" outlineLevel="0" collapsed="false">
      <c r="A652" s="1" t="s">
        <v>104</v>
      </c>
      <c r="B652" s="7" t="n">
        <v>45536</v>
      </c>
      <c r="C652" s="1" t="s">
        <v>149</v>
      </c>
      <c r="D652" s="1" t="s">
        <v>186</v>
      </c>
      <c r="E652" s="1" t="s">
        <v>187</v>
      </c>
      <c r="F652" s="1" t="n">
        <v>152614.19</v>
      </c>
      <c r="G652" s="1" t="n">
        <v>152614.19</v>
      </c>
      <c r="H652" s="1" t="str">
        <f aca="false">IF(ABS(F652-G652)&lt;=0.01,"PASS","CHECK")</f>
        <v>PASS</v>
      </c>
    </row>
    <row r="653" customFormat="false" ht="15" hidden="false" customHeight="true" outlineLevel="0" collapsed="false">
      <c r="A653" s="1" t="s">
        <v>104</v>
      </c>
      <c r="B653" s="7" t="n">
        <v>45566</v>
      </c>
      <c r="C653" s="1" t="s">
        <v>149</v>
      </c>
      <c r="D653" s="1" t="s">
        <v>186</v>
      </c>
      <c r="E653" s="1" t="s">
        <v>187</v>
      </c>
      <c r="F653" s="1" t="n">
        <v>152614.19</v>
      </c>
      <c r="G653" s="1" t="n">
        <v>152614.19</v>
      </c>
      <c r="H653" s="1" t="str">
        <f aca="false">IF(ABS(F653-G653)&lt;=0.01,"PASS","CHECK")</f>
        <v>PASS</v>
      </c>
    </row>
    <row r="654" customFormat="false" ht="15" hidden="false" customHeight="true" outlineLevel="0" collapsed="false">
      <c r="A654" s="1" t="s">
        <v>104</v>
      </c>
      <c r="B654" s="7" t="n">
        <v>45597</v>
      </c>
      <c r="C654" s="1" t="s">
        <v>149</v>
      </c>
      <c r="D654" s="1" t="s">
        <v>186</v>
      </c>
      <c r="E654" s="1" t="s">
        <v>187</v>
      </c>
      <c r="F654" s="1" t="n">
        <v>152614.19</v>
      </c>
      <c r="G654" s="1" t="n">
        <v>152614.19</v>
      </c>
      <c r="H654" s="1" t="str">
        <f aca="false">IF(ABS(F654-G654)&lt;=0.01,"PASS","CHECK")</f>
        <v>PASS</v>
      </c>
    </row>
    <row r="655" customFormat="false" ht="15" hidden="false" customHeight="true" outlineLevel="0" collapsed="false">
      <c r="A655" s="1" t="s">
        <v>104</v>
      </c>
      <c r="B655" s="7" t="n">
        <v>45627</v>
      </c>
      <c r="C655" s="1" t="s">
        <v>149</v>
      </c>
      <c r="D655" s="1" t="s">
        <v>186</v>
      </c>
      <c r="E655" s="1" t="s">
        <v>187</v>
      </c>
      <c r="F655" s="1" t="n">
        <v>152614.19</v>
      </c>
      <c r="G655" s="1" t="n">
        <v>152614.19</v>
      </c>
      <c r="H655" s="1" t="str">
        <f aca="false">IF(ABS(F655-G655)&lt;=0.01,"PASS","CHECK")</f>
        <v>PASS</v>
      </c>
    </row>
    <row r="656" customFormat="false" ht="15" hidden="false" customHeight="true" outlineLevel="0" collapsed="false">
      <c r="A656" s="1" t="s">
        <v>104</v>
      </c>
      <c r="B656" s="7" t="n">
        <v>45658</v>
      </c>
      <c r="C656" s="1" t="s">
        <v>149</v>
      </c>
      <c r="D656" s="1" t="s">
        <v>186</v>
      </c>
      <c r="E656" s="1" t="s">
        <v>187</v>
      </c>
      <c r="F656" s="1" t="n">
        <v>152614.19</v>
      </c>
      <c r="G656" s="1" t="n">
        <v>152614.19</v>
      </c>
      <c r="H656" s="1" t="str">
        <f aca="false">IF(ABS(F656-G656)&lt;=0.01,"PASS","CHECK")</f>
        <v>PASS</v>
      </c>
    </row>
    <row r="657" customFormat="false" ht="15" hidden="false" customHeight="true" outlineLevel="0" collapsed="false">
      <c r="A657" s="1" t="s">
        <v>104</v>
      </c>
      <c r="B657" s="7" t="n">
        <v>45689</v>
      </c>
      <c r="C657" s="1" t="s">
        <v>149</v>
      </c>
      <c r="D657" s="1" t="s">
        <v>186</v>
      </c>
      <c r="E657" s="1" t="s">
        <v>187</v>
      </c>
      <c r="F657" s="1" t="n">
        <v>152614.19</v>
      </c>
      <c r="G657" s="1" t="n">
        <v>152614.19</v>
      </c>
      <c r="H657" s="1" t="str">
        <f aca="false">IF(ABS(F657-G657)&lt;=0.01,"PASS","CHECK")</f>
        <v>PASS</v>
      </c>
    </row>
    <row r="658" customFormat="false" ht="15" hidden="false" customHeight="true" outlineLevel="0" collapsed="false">
      <c r="A658" s="1" t="s">
        <v>104</v>
      </c>
      <c r="B658" s="7" t="n">
        <v>45717</v>
      </c>
      <c r="C658" s="1" t="s">
        <v>149</v>
      </c>
      <c r="D658" s="1" t="s">
        <v>186</v>
      </c>
      <c r="E658" s="1" t="s">
        <v>187</v>
      </c>
      <c r="F658" s="1" t="n">
        <v>152614.19</v>
      </c>
      <c r="G658" s="1" t="n">
        <v>152614.19</v>
      </c>
      <c r="H658" s="1" t="str">
        <f aca="false">IF(ABS(F658-G658)&lt;=0.01,"PASS","CHECK")</f>
        <v>PASS</v>
      </c>
    </row>
    <row r="659" customFormat="false" ht="15" hidden="false" customHeight="true" outlineLevel="0" collapsed="false">
      <c r="A659" s="1" t="s">
        <v>104</v>
      </c>
      <c r="B659" s="7" t="n">
        <v>45748</v>
      </c>
      <c r="C659" s="1" t="s">
        <v>149</v>
      </c>
      <c r="D659" s="1" t="s">
        <v>186</v>
      </c>
      <c r="E659" s="1" t="s">
        <v>187</v>
      </c>
      <c r="F659" s="1" t="n">
        <v>152614.19</v>
      </c>
      <c r="G659" s="1" t="n">
        <v>152614.19</v>
      </c>
      <c r="H659" s="1" t="str">
        <f aca="false">IF(ABS(F659-G659)&lt;=0.01,"PASS","CHECK")</f>
        <v>PASS</v>
      </c>
    </row>
    <row r="660" customFormat="false" ht="15" hidden="false" customHeight="true" outlineLevel="0" collapsed="false">
      <c r="A660" s="1" t="s">
        <v>104</v>
      </c>
      <c r="B660" s="7" t="n">
        <v>45778</v>
      </c>
      <c r="C660" s="1" t="s">
        <v>149</v>
      </c>
      <c r="D660" s="1" t="s">
        <v>186</v>
      </c>
      <c r="E660" s="1" t="s">
        <v>187</v>
      </c>
      <c r="F660" s="1" t="n">
        <v>152614.19</v>
      </c>
      <c r="G660" s="1" t="n">
        <v>152614.19</v>
      </c>
      <c r="H660" s="1" t="str">
        <f aca="false">IF(ABS(F660-G660)&lt;=0.01,"PASS","CHECK")</f>
        <v>PASS</v>
      </c>
    </row>
    <row r="661" customFormat="false" ht="15" hidden="false" customHeight="true" outlineLevel="0" collapsed="false">
      <c r="A661" s="1" t="s">
        <v>104</v>
      </c>
      <c r="B661" s="7" t="n">
        <v>45809</v>
      </c>
      <c r="C661" s="1" t="s">
        <v>149</v>
      </c>
      <c r="D661" s="1" t="s">
        <v>186</v>
      </c>
      <c r="E661" s="1" t="s">
        <v>187</v>
      </c>
      <c r="F661" s="1" t="n">
        <v>152614.19</v>
      </c>
      <c r="G661" s="1" t="n">
        <v>152614.19</v>
      </c>
      <c r="H661" s="1" t="str">
        <f aca="false">IF(ABS(F661-G661)&lt;=0.01,"PASS","CHECK")</f>
        <v>PASS</v>
      </c>
    </row>
    <row r="662" customFormat="false" ht="15" hidden="false" customHeight="true" outlineLevel="0" collapsed="false">
      <c r="A662" s="1" t="s">
        <v>104</v>
      </c>
      <c r="B662" s="7" t="n">
        <v>45839</v>
      </c>
      <c r="C662" s="1" t="s">
        <v>149</v>
      </c>
      <c r="D662" s="1" t="s">
        <v>186</v>
      </c>
      <c r="E662" s="1" t="s">
        <v>187</v>
      </c>
      <c r="F662" s="1" t="n">
        <v>152614.19</v>
      </c>
      <c r="G662" s="1" t="n">
        <v>152614.19</v>
      </c>
      <c r="H662" s="1" t="str">
        <f aca="false">IF(ABS(F662-G662)&lt;=0.01,"PASS","CHECK")</f>
        <v>PASS</v>
      </c>
    </row>
    <row r="663" customFormat="false" ht="15" hidden="false" customHeight="true" outlineLevel="0" collapsed="false">
      <c r="A663" s="1" t="s">
        <v>104</v>
      </c>
      <c r="B663" s="7" t="n">
        <v>45870</v>
      </c>
      <c r="C663" s="1" t="s">
        <v>149</v>
      </c>
      <c r="D663" s="1" t="s">
        <v>186</v>
      </c>
      <c r="E663" s="1" t="s">
        <v>187</v>
      </c>
      <c r="F663" s="1" t="n">
        <v>152614.19</v>
      </c>
      <c r="G663" s="1" t="n">
        <v>152614.19</v>
      </c>
      <c r="H663" s="1" t="str">
        <f aca="false">IF(ABS(F663-G663)&lt;=0.01,"PASS","CHECK")</f>
        <v>PASS</v>
      </c>
    </row>
    <row r="664" customFormat="false" ht="15" hidden="false" customHeight="true" outlineLevel="0" collapsed="false">
      <c r="A664" s="1" t="s">
        <v>104</v>
      </c>
      <c r="B664" s="7" t="n">
        <v>45901</v>
      </c>
      <c r="C664" s="1" t="s">
        <v>149</v>
      </c>
      <c r="D664" s="1" t="s">
        <v>186</v>
      </c>
      <c r="E664" s="1" t="s">
        <v>187</v>
      </c>
      <c r="F664" s="1" t="n">
        <v>152614.19</v>
      </c>
      <c r="G664" s="1" t="n">
        <v>152614.19</v>
      </c>
      <c r="H664" s="1" t="str">
        <f aca="false">IF(ABS(F664-G664)&lt;=0.01,"PASS","CHECK")</f>
        <v>PASS</v>
      </c>
    </row>
    <row r="665" customFormat="false" ht="15" hidden="false" customHeight="true" outlineLevel="0" collapsed="false">
      <c r="A665" s="1" t="s">
        <v>104</v>
      </c>
      <c r="B665" s="7" t="n">
        <v>45931</v>
      </c>
      <c r="C665" s="1" t="s">
        <v>149</v>
      </c>
      <c r="D665" s="1" t="s">
        <v>186</v>
      </c>
      <c r="E665" s="1" t="s">
        <v>187</v>
      </c>
      <c r="F665" s="1" t="n">
        <v>152614.19</v>
      </c>
      <c r="G665" s="1" t="n">
        <v>152614.19</v>
      </c>
      <c r="H665" s="1" t="str">
        <f aca="false">IF(ABS(F665-G665)&lt;=0.01,"PASS","CHECK")</f>
        <v>PASS</v>
      </c>
    </row>
    <row r="666" customFormat="false" ht="15" hidden="false" customHeight="true" outlineLevel="0" collapsed="false">
      <c r="A666" s="1" t="s">
        <v>104</v>
      </c>
      <c r="B666" s="7" t="n">
        <v>45962</v>
      </c>
      <c r="C666" s="1" t="s">
        <v>149</v>
      </c>
      <c r="D666" s="1" t="s">
        <v>186</v>
      </c>
      <c r="E666" s="1" t="s">
        <v>187</v>
      </c>
      <c r="F666" s="1" t="n">
        <v>152614.19</v>
      </c>
      <c r="G666" s="1" t="n">
        <v>152614.19</v>
      </c>
      <c r="H666" s="1" t="str">
        <f aca="false">IF(ABS(F666-G666)&lt;=0.01,"PASS","CHECK")</f>
        <v>PASS</v>
      </c>
    </row>
    <row r="667" customFormat="false" ht="15" hidden="false" customHeight="true" outlineLevel="0" collapsed="false">
      <c r="A667" s="1" t="s">
        <v>104</v>
      </c>
      <c r="B667" s="7" t="n">
        <v>45992</v>
      </c>
      <c r="C667" s="1" t="s">
        <v>149</v>
      </c>
      <c r="D667" s="1" t="s">
        <v>186</v>
      </c>
      <c r="E667" s="1" t="s">
        <v>187</v>
      </c>
      <c r="F667" s="1" t="n">
        <v>152614.19</v>
      </c>
      <c r="G667" s="1" t="n">
        <v>152614.19</v>
      </c>
      <c r="H667" s="1" t="str">
        <f aca="false">IF(ABS(F667-G667)&lt;=0.01,"PASS","CHECK")</f>
        <v>PASS</v>
      </c>
    </row>
    <row r="668" customFormat="false" ht="15" hidden="false" customHeight="true" outlineLevel="0" collapsed="false">
      <c r="A668" s="1" t="s">
        <v>104</v>
      </c>
      <c r="B668" s="7" t="n">
        <v>46023</v>
      </c>
      <c r="C668" s="1" t="s">
        <v>149</v>
      </c>
      <c r="D668" s="1" t="s">
        <v>186</v>
      </c>
      <c r="E668" s="1" t="s">
        <v>187</v>
      </c>
      <c r="F668" s="1" t="n">
        <v>152614.19</v>
      </c>
      <c r="G668" s="1" t="n">
        <v>152614.19</v>
      </c>
      <c r="H668" s="1" t="str">
        <f aca="false">IF(ABS(F668-G668)&lt;=0.01,"PASS","CHECK")</f>
        <v>PASS</v>
      </c>
    </row>
    <row r="669" customFormat="false" ht="15" hidden="false" customHeight="true" outlineLevel="0" collapsed="false">
      <c r="A669" s="1" t="s">
        <v>104</v>
      </c>
      <c r="B669" s="7" t="n">
        <v>46054</v>
      </c>
      <c r="C669" s="1" t="s">
        <v>149</v>
      </c>
      <c r="D669" s="1" t="s">
        <v>186</v>
      </c>
      <c r="E669" s="1" t="s">
        <v>187</v>
      </c>
      <c r="F669" s="1" t="n">
        <v>152614.19</v>
      </c>
      <c r="G669" s="1" t="n">
        <v>152614.19</v>
      </c>
      <c r="H669" s="1" t="str">
        <f aca="false">IF(ABS(F669-G669)&lt;=0.01,"PASS","CHECK")</f>
        <v>PASS</v>
      </c>
    </row>
    <row r="670" customFormat="false" ht="15" hidden="false" customHeight="true" outlineLevel="0" collapsed="false">
      <c r="A670" s="1" t="s">
        <v>104</v>
      </c>
      <c r="B670" s="7" t="n">
        <v>46082</v>
      </c>
      <c r="C670" s="1" t="s">
        <v>149</v>
      </c>
      <c r="D670" s="1" t="s">
        <v>186</v>
      </c>
      <c r="E670" s="1" t="s">
        <v>187</v>
      </c>
      <c r="F670" s="1" t="n">
        <v>152614.19</v>
      </c>
      <c r="G670" s="1" t="n">
        <v>152614.19</v>
      </c>
      <c r="H670" s="1" t="str">
        <f aca="false">IF(ABS(F670-G670)&lt;=0.01,"PASS","CHECK")</f>
        <v>PASS</v>
      </c>
    </row>
    <row r="671" customFormat="false" ht="15" hidden="false" customHeight="true" outlineLevel="0" collapsed="false">
      <c r="A671" s="1" t="s">
        <v>104</v>
      </c>
      <c r="B671" s="7" t="n">
        <v>46113</v>
      </c>
      <c r="C671" s="1" t="s">
        <v>149</v>
      </c>
      <c r="D671" s="1" t="s">
        <v>186</v>
      </c>
      <c r="E671" s="1" t="s">
        <v>187</v>
      </c>
      <c r="F671" s="1" t="n">
        <v>152614.19</v>
      </c>
      <c r="G671" s="1" t="n">
        <v>152614.19</v>
      </c>
      <c r="H671" s="1" t="str">
        <f aca="false">IF(ABS(F671-G671)&lt;=0.01,"PASS","CHECK")</f>
        <v>PASS</v>
      </c>
    </row>
    <row r="672" customFormat="false" ht="15" hidden="false" customHeight="true" outlineLevel="0" collapsed="false">
      <c r="A672" s="1" t="s">
        <v>104</v>
      </c>
      <c r="B672" s="7" t="n">
        <v>46143</v>
      </c>
      <c r="C672" s="1" t="s">
        <v>149</v>
      </c>
      <c r="D672" s="1" t="s">
        <v>186</v>
      </c>
      <c r="E672" s="1" t="s">
        <v>187</v>
      </c>
      <c r="F672" s="1" t="n">
        <v>152614.19</v>
      </c>
      <c r="G672" s="1" t="n">
        <v>152614.19</v>
      </c>
      <c r="H672" s="1" t="str">
        <f aca="false">IF(ABS(F672-G672)&lt;=0.01,"PASS","CHECK")</f>
        <v>PASS</v>
      </c>
    </row>
    <row r="673" customFormat="false" ht="15" hidden="false" customHeight="true" outlineLevel="0" collapsed="false">
      <c r="A673" s="1" t="s">
        <v>104</v>
      </c>
      <c r="B673" s="7" t="n">
        <v>46174</v>
      </c>
      <c r="C673" s="1" t="s">
        <v>149</v>
      </c>
      <c r="D673" s="1" t="s">
        <v>186</v>
      </c>
      <c r="E673" s="1" t="s">
        <v>187</v>
      </c>
      <c r="F673" s="1" t="n">
        <v>152614.19</v>
      </c>
      <c r="G673" s="1" t="n">
        <v>152614.19</v>
      </c>
      <c r="H673" s="1" t="str">
        <f aca="false">IF(ABS(F673-G673)&lt;=0.01,"PASS","CHECK")</f>
        <v>PASS</v>
      </c>
    </row>
    <row r="674" customFormat="false" ht="15" hidden="false" customHeight="true" outlineLevel="0" collapsed="false">
      <c r="A674" s="1" t="s">
        <v>104</v>
      </c>
      <c r="B674" s="7" t="n">
        <v>46204</v>
      </c>
      <c r="C674" s="1" t="s">
        <v>149</v>
      </c>
      <c r="D674" s="1" t="s">
        <v>186</v>
      </c>
      <c r="E674" s="1" t="s">
        <v>187</v>
      </c>
      <c r="F674" s="1" t="n">
        <v>152614.19</v>
      </c>
      <c r="G674" s="1" t="n">
        <v>152614.19</v>
      </c>
      <c r="H674" s="1" t="str">
        <f aca="false">IF(ABS(F674-G674)&lt;=0.01,"PASS","CHECK")</f>
        <v>PASS</v>
      </c>
    </row>
    <row r="675" customFormat="false" ht="15" hidden="false" customHeight="true" outlineLevel="0" collapsed="false">
      <c r="A675" s="1" t="s">
        <v>104</v>
      </c>
      <c r="B675" s="7" t="n">
        <v>46235</v>
      </c>
      <c r="C675" s="1" t="s">
        <v>149</v>
      </c>
      <c r="D675" s="1" t="s">
        <v>186</v>
      </c>
      <c r="E675" s="1" t="s">
        <v>187</v>
      </c>
      <c r="F675" s="1" t="n">
        <v>152614.19</v>
      </c>
      <c r="G675" s="1" t="n">
        <v>152614.19</v>
      </c>
      <c r="H675" s="1" t="str">
        <f aca="false">IF(ABS(F675-G675)&lt;=0.01,"PASS","CHECK")</f>
        <v>PASS</v>
      </c>
    </row>
    <row r="676" customFormat="false" ht="15" hidden="false" customHeight="true" outlineLevel="0" collapsed="false">
      <c r="A676" s="1" t="s">
        <v>104</v>
      </c>
      <c r="B676" s="7" t="n">
        <v>46266</v>
      </c>
      <c r="C676" s="1" t="s">
        <v>149</v>
      </c>
      <c r="D676" s="1" t="s">
        <v>186</v>
      </c>
      <c r="E676" s="1" t="s">
        <v>187</v>
      </c>
      <c r="F676" s="1" t="n">
        <v>152614.19</v>
      </c>
      <c r="G676" s="1" t="n">
        <v>152614.19</v>
      </c>
      <c r="H676" s="1" t="str">
        <f aca="false">IF(ABS(F676-G676)&lt;=0.01,"PASS","CHECK")</f>
        <v>PASS</v>
      </c>
    </row>
    <row r="677" customFormat="false" ht="15" hidden="false" customHeight="true" outlineLevel="0" collapsed="false">
      <c r="A677" s="1" t="s">
        <v>104</v>
      </c>
      <c r="B677" s="7" t="s">
        <v>208</v>
      </c>
      <c r="C677" s="1" t="s">
        <v>188</v>
      </c>
      <c r="D677" s="1" t="s">
        <v>189</v>
      </c>
      <c r="E677" s="1" t="s">
        <v>180</v>
      </c>
      <c r="F677" s="1" t="n">
        <v>149451.63</v>
      </c>
      <c r="G677" s="1" t="n">
        <v>149451.63</v>
      </c>
      <c r="H677" s="1" t="str">
        <f aca="false">IF(ABS(F677-G677)&lt;=0.01,"PASS","CHECK")</f>
        <v>PASS</v>
      </c>
    </row>
    <row r="678" customFormat="false" ht="15" hidden="false" customHeight="true" outlineLevel="0" collapsed="false">
      <c r="A678" s="1" t="s">
        <v>104</v>
      </c>
      <c r="B678" s="7" t="s">
        <v>208</v>
      </c>
      <c r="C678" s="1" t="s">
        <v>190</v>
      </c>
      <c r="D678" s="1" t="s">
        <v>177</v>
      </c>
      <c r="E678" s="1" t="s">
        <v>180</v>
      </c>
      <c r="F678" s="1" t="n">
        <v>50548.37</v>
      </c>
      <c r="G678" s="1" t="n">
        <v>50548.37</v>
      </c>
      <c r="H678" s="1" t="str">
        <f aca="false">IF(ABS(F678-G678)&lt;=0.01,"PASS","CHECK")</f>
        <v>PASS</v>
      </c>
    </row>
    <row r="679" customFormat="false" ht="15" hidden="false" customHeight="true" outlineLevel="0" collapsed="false">
      <c r="A679" s="1" t="s">
        <v>104</v>
      </c>
      <c r="B679" s="7" t="n">
        <v>45413</v>
      </c>
      <c r="C679" s="1" t="s">
        <v>191</v>
      </c>
      <c r="D679" s="1" t="s">
        <v>189</v>
      </c>
      <c r="E679" s="1" t="s">
        <v>156</v>
      </c>
      <c r="F679" s="1" t="n">
        <v>717.47</v>
      </c>
      <c r="G679" s="1" t="n">
        <v>717.47</v>
      </c>
      <c r="H679" s="1" t="str">
        <f aca="false">IF(ABS(F679-G679)&lt;=0.01,"PASS","CHECK")</f>
        <v>PASS</v>
      </c>
    </row>
    <row r="680" customFormat="false" ht="15" hidden="false" customHeight="true" outlineLevel="0" collapsed="false">
      <c r="A680" s="1" t="s">
        <v>104</v>
      </c>
      <c r="B680" s="7" t="n">
        <v>45444</v>
      </c>
      <c r="C680" s="1" t="s">
        <v>191</v>
      </c>
      <c r="D680" s="1" t="s">
        <v>189</v>
      </c>
      <c r="E680" s="1" t="s">
        <v>156</v>
      </c>
      <c r="F680" s="1" t="n">
        <v>745.01</v>
      </c>
      <c r="G680" s="1" t="n">
        <v>745.01</v>
      </c>
      <c r="H680" s="1" t="str">
        <f aca="false">IF(ABS(F680-G680)&lt;=0.01,"PASS","CHECK")</f>
        <v>PASS</v>
      </c>
    </row>
    <row r="681" customFormat="false" ht="15" hidden="false" customHeight="true" outlineLevel="0" collapsed="false">
      <c r="A681" s="1" t="s">
        <v>104</v>
      </c>
      <c r="B681" s="7" t="n">
        <v>45474</v>
      </c>
      <c r="C681" s="1" t="s">
        <v>191</v>
      </c>
      <c r="D681" s="1" t="s">
        <v>189</v>
      </c>
      <c r="E681" s="1" t="s">
        <v>156</v>
      </c>
      <c r="F681" s="1" t="n">
        <v>724.5</v>
      </c>
      <c r="G681" s="1" t="n">
        <v>724.5</v>
      </c>
      <c r="H681" s="1" t="str">
        <f aca="false">IF(ABS(F681-G681)&lt;=0.01,"PASS","CHECK")</f>
        <v>PASS</v>
      </c>
    </row>
    <row r="682" customFormat="false" ht="15" hidden="false" customHeight="true" outlineLevel="0" collapsed="false">
      <c r="A682" s="1" t="s">
        <v>104</v>
      </c>
      <c r="B682" s="7" t="n">
        <v>45505</v>
      </c>
      <c r="C682" s="1" t="s">
        <v>191</v>
      </c>
      <c r="D682" s="1" t="s">
        <v>189</v>
      </c>
      <c r="E682" s="1" t="s">
        <v>156</v>
      </c>
      <c r="F682" s="1" t="n">
        <v>752.3</v>
      </c>
      <c r="G682" s="1" t="n">
        <v>752.3</v>
      </c>
      <c r="H682" s="1" t="str">
        <f aca="false">IF(ABS(F682-G682)&lt;=0.01,"PASS","CHECK")</f>
        <v>PASS</v>
      </c>
    </row>
    <row r="683" customFormat="false" ht="15" hidden="false" customHeight="true" outlineLevel="0" collapsed="false">
      <c r="A683" s="1" t="s">
        <v>104</v>
      </c>
      <c r="B683" s="7" t="n">
        <v>45536</v>
      </c>
      <c r="C683" s="1" t="s">
        <v>191</v>
      </c>
      <c r="D683" s="1" t="s">
        <v>189</v>
      </c>
      <c r="E683" s="1" t="s">
        <v>156</v>
      </c>
      <c r="F683" s="1" t="n">
        <v>756.03</v>
      </c>
      <c r="G683" s="1" t="n">
        <v>756.03</v>
      </c>
      <c r="H683" s="1" t="str">
        <f aca="false">IF(ABS(F683-G683)&lt;=0.01,"PASS","CHECK")</f>
        <v>PASS</v>
      </c>
    </row>
    <row r="684" customFormat="false" ht="15" hidden="false" customHeight="true" outlineLevel="0" collapsed="false">
      <c r="A684" s="1" t="s">
        <v>104</v>
      </c>
      <c r="B684" s="7" t="n">
        <v>45566</v>
      </c>
      <c r="C684" s="1" t="s">
        <v>191</v>
      </c>
      <c r="D684" s="1" t="s">
        <v>189</v>
      </c>
      <c r="E684" s="1" t="s">
        <v>156</v>
      </c>
      <c r="F684" s="1" t="n">
        <v>735.21</v>
      </c>
      <c r="G684" s="1" t="n">
        <v>735.21</v>
      </c>
      <c r="H684" s="1" t="str">
        <f aca="false">IF(ABS(F684-G684)&lt;=0.01,"PASS","CHECK")</f>
        <v>PASS</v>
      </c>
    </row>
    <row r="685" customFormat="false" ht="15" hidden="false" customHeight="true" outlineLevel="0" collapsed="false">
      <c r="A685" s="1" t="s">
        <v>104</v>
      </c>
      <c r="B685" s="7" t="n">
        <v>45597</v>
      </c>
      <c r="C685" s="1" t="s">
        <v>191</v>
      </c>
      <c r="D685" s="1" t="s">
        <v>189</v>
      </c>
      <c r="E685" s="1" t="s">
        <v>156</v>
      </c>
      <c r="F685" s="1" t="n">
        <v>763.43</v>
      </c>
      <c r="G685" s="1" t="n">
        <v>763.43</v>
      </c>
      <c r="H685" s="1" t="str">
        <f aca="false">IF(ABS(F685-G685)&lt;=0.01,"PASS","CHECK")</f>
        <v>PASS</v>
      </c>
    </row>
    <row r="686" customFormat="false" ht="15" hidden="false" customHeight="true" outlineLevel="0" collapsed="false">
      <c r="A686" s="1" t="s">
        <v>104</v>
      </c>
      <c r="B686" s="7" t="n">
        <v>45627</v>
      </c>
      <c r="C686" s="1" t="s">
        <v>191</v>
      </c>
      <c r="D686" s="1" t="s">
        <v>189</v>
      </c>
      <c r="E686" s="1" t="s">
        <v>156</v>
      </c>
      <c r="F686" s="1" t="n">
        <v>742.41</v>
      </c>
      <c r="G686" s="1" t="n">
        <v>742.41</v>
      </c>
      <c r="H686" s="1" t="str">
        <f aca="false">IF(ABS(F686-G686)&lt;=0.01,"PASS","CHECK")</f>
        <v>PASS</v>
      </c>
    </row>
    <row r="687" customFormat="false" ht="15" hidden="false" customHeight="true" outlineLevel="0" collapsed="false">
      <c r="A687" s="1" t="s">
        <v>104</v>
      </c>
      <c r="B687" s="7" t="n">
        <v>45658</v>
      </c>
      <c r="C687" s="1" t="s">
        <v>191</v>
      </c>
      <c r="D687" s="1" t="s">
        <v>189</v>
      </c>
      <c r="E687" s="1" t="s">
        <v>156</v>
      </c>
      <c r="F687" s="1" t="n">
        <v>770.9</v>
      </c>
      <c r="G687" s="1" t="n">
        <v>770.9</v>
      </c>
      <c r="H687" s="1" t="str">
        <f aca="false">IF(ABS(F687-G687)&lt;=0.01,"PASS","CHECK")</f>
        <v>PASS</v>
      </c>
    </row>
    <row r="688" customFormat="false" ht="15" hidden="false" customHeight="true" outlineLevel="0" collapsed="false">
      <c r="A688" s="1" t="s">
        <v>104</v>
      </c>
      <c r="B688" s="7" t="n">
        <v>45689</v>
      </c>
      <c r="C688" s="1" t="s">
        <v>191</v>
      </c>
      <c r="D688" s="1" t="s">
        <v>189</v>
      </c>
      <c r="E688" s="1" t="s">
        <v>156</v>
      </c>
      <c r="F688" s="1" t="n">
        <v>774.72</v>
      </c>
      <c r="G688" s="1" t="n">
        <v>774.72</v>
      </c>
      <c r="H688" s="1" t="str">
        <f aca="false">IF(ABS(F688-G688)&lt;=0.01,"PASS","CHECK")</f>
        <v>PASS</v>
      </c>
    </row>
    <row r="689" customFormat="false" ht="15" hidden="false" customHeight="true" outlineLevel="0" collapsed="false">
      <c r="A689" s="1" t="s">
        <v>104</v>
      </c>
      <c r="B689" s="7" t="n">
        <v>45717</v>
      </c>
      <c r="C689" s="1" t="s">
        <v>191</v>
      </c>
      <c r="D689" s="1" t="s">
        <v>189</v>
      </c>
      <c r="E689" s="1" t="s">
        <v>156</v>
      </c>
      <c r="F689" s="1" t="n">
        <v>703.05</v>
      </c>
      <c r="G689" s="1" t="n">
        <v>703.05</v>
      </c>
      <c r="H689" s="1" t="str">
        <f aca="false">IF(ABS(F689-G689)&lt;=0.01,"PASS","CHECK")</f>
        <v>PASS</v>
      </c>
    </row>
    <row r="690" customFormat="false" ht="15" hidden="false" customHeight="true" outlineLevel="0" collapsed="false">
      <c r="A690" s="1" t="s">
        <v>104</v>
      </c>
      <c r="B690" s="7" t="n">
        <v>45748</v>
      </c>
      <c r="C690" s="1" t="s">
        <v>191</v>
      </c>
      <c r="D690" s="1" t="s">
        <v>189</v>
      </c>
      <c r="E690" s="1" t="s">
        <v>156</v>
      </c>
      <c r="F690" s="1" t="n">
        <v>782.06</v>
      </c>
      <c r="G690" s="1" t="n">
        <v>782.06</v>
      </c>
      <c r="H690" s="1" t="str">
        <f aca="false">IF(ABS(F690-G690)&lt;=0.01,"PASS","CHECK")</f>
        <v>PASS</v>
      </c>
    </row>
    <row r="691" customFormat="false" ht="15" hidden="false" customHeight="true" outlineLevel="0" collapsed="false">
      <c r="A691" s="1" t="s">
        <v>104</v>
      </c>
      <c r="B691" s="7" t="n">
        <v>45778</v>
      </c>
      <c r="C691" s="1" t="s">
        <v>191</v>
      </c>
      <c r="D691" s="1" t="s">
        <v>189</v>
      </c>
      <c r="E691" s="1" t="s">
        <v>156</v>
      </c>
      <c r="F691" s="1" t="n">
        <v>760.52</v>
      </c>
      <c r="G691" s="1" t="n">
        <v>760.52</v>
      </c>
      <c r="H691" s="1" t="str">
        <f aca="false">IF(ABS(F691-G691)&lt;=0.01,"PASS","CHECK")</f>
        <v>PASS</v>
      </c>
    </row>
    <row r="692" customFormat="false" ht="15" hidden="false" customHeight="true" outlineLevel="0" collapsed="false">
      <c r="A692" s="1" t="s">
        <v>104</v>
      </c>
      <c r="B692" s="7" t="n">
        <v>45809</v>
      </c>
      <c r="C692" s="1" t="s">
        <v>191</v>
      </c>
      <c r="D692" s="1" t="s">
        <v>189</v>
      </c>
      <c r="E692" s="1" t="s">
        <v>156</v>
      </c>
      <c r="F692" s="1" t="n">
        <v>789.71</v>
      </c>
      <c r="G692" s="1" t="n">
        <v>789.71</v>
      </c>
      <c r="H692" s="1" t="str">
        <f aca="false">IF(ABS(F692-G692)&lt;=0.01,"PASS","CHECK")</f>
        <v>PASS</v>
      </c>
    </row>
    <row r="693" customFormat="false" ht="15" hidden="false" customHeight="true" outlineLevel="0" collapsed="false">
      <c r="A693" s="1" t="s">
        <v>104</v>
      </c>
      <c r="B693" s="7" t="n">
        <v>45839</v>
      </c>
      <c r="C693" s="1" t="s">
        <v>191</v>
      </c>
      <c r="D693" s="1" t="s">
        <v>189</v>
      </c>
      <c r="E693" s="1" t="s">
        <v>156</v>
      </c>
      <c r="F693" s="1" t="n">
        <v>767.96</v>
      </c>
      <c r="G693" s="1" t="n">
        <v>767.96</v>
      </c>
      <c r="H693" s="1" t="str">
        <f aca="false">IF(ABS(F693-G693)&lt;=0.01,"PASS","CHECK")</f>
        <v>PASS</v>
      </c>
    </row>
    <row r="694" customFormat="false" ht="15" hidden="false" customHeight="true" outlineLevel="0" collapsed="false">
      <c r="A694" s="1" t="s">
        <v>104</v>
      </c>
      <c r="B694" s="7" t="n">
        <v>45870</v>
      </c>
      <c r="C694" s="1" t="s">
        <v>191</v>
      </c>
      <c r="D694" s="1" t="s">
        <v>189</v>
      </c>
      <c r="E694" s="1" t="s">
        <v>156</v>
      </c>
      <c r="F694" s="1" t="n">
        <v>797.44</v>
      </c>
      <c r="G694" s="1" t="n">
        <v>797.44</v>
      </c>
      <c r="H694" s="1" t="str">
        <f aca="false">IF(ABS(F694-G694)&lt;=0.01,"PASS","CHECK")</f>
        <v>PASS</v>
      </c>
    </row>
    <row r="695" customFormat="false" ht="15" hidden="false" customHeight="true" outlineLevel="0" collapsed="false">
      <c r="A695" s="1" t="s">
        <v>104</v>
      </c>
      <c r="B695" s="7" t="n">
        <v>45901</v>
      </c>
      <c r="C695" s="1" t="s">
        <v>191</v>
      </c>
      <c r="D695" s="1" t="s">
        <v>189</v>
      </c>
      <c r="E695" s="1" t="s">
        <v>156</v>
      </c>
      <c r="F695" s="1" t="n">
        <v>801.39</v>
      </c>
      <c r="G695" s="1" t="n">
        <v>801.39</v>
      </c>
      <c r="H695" s="1" t="str">
        <f aca="false">IF(ABS(F695-G695)&lt;=0.01,"PASS","CHECK")</f>
        <v>PASS</v>
      </c>
    </row>
    <row r="696" customFormat="false" ht="15" hidden="false" customHeight="true" outlineLevel="0" collapsed="false">
      <c r="A696" s="1" t="s">
        <v>104</v>
      </c>
      <c r="B696" s="7" t="n">
        <v>45931</v>
      </c>
      <c r="C696" s="1" t="s">
        <v>191</v>
      </c>
      <c r="D696" s="1" t="s">
        <v>189</v>
      </c>
      <c r="E696" s="1" t="s">
        <v>156</v>
      </c>
      <c r="F696" s="1" t="n">
        <v>779.33</v>
      </c>
      <c r="G696" s="1" t="n">
        <v>779.33</v>
      </c>
      <c r="H696" s="1" t="str">
        <f aca="false">IF(ABS(F696-G696)&lt;=0.01,"PASS","CHECK")</f>
        <v>PASS</v>
      </c>
    </row>
    <row r="697" customFormat="false" ht="15" hidden="false" customHeight="true" outlineLevel="0" collapsed="false">
      <c r="A697" s="1" t="s">
        <v>104</v>
      </c>
      <c r="B697" s="7" t="n">
        <v>45962</v>
      </c>
      <c r="C697" s="1" t="s">
        <v>191</v>
      </c>
      <c r="D697" s="1" t="s">
        <v>189</v>
      </c>
      <c r="E697" s="1" t="s">
        <v>156</v>
      </c>
      <c r="F697" s="1" t="n">
        <v>809.24</v>
      </c>
      <c r="G697" s="1" t="n">
        <v>809.24</v>
      </c>
      <c r="H697" s="1" t="str">
        <f aca="false">IF(ABS(F697-G697)&lt;=0.01,"PASS","CHECK")</f>
        <v>PASS</v>
      </c>
    </row>
    <row r="698" customFormat="false" ht="15" hidden="false" customHeight="true" outlineLevel="0" collapsed="false">
      <c r="A698" s="1" t="s">
        <v>104</v>
      </c>
      <c r="B698" s="7" t="n">
        <v>45992</v>
      </c>
      <c r="C698" s="1" t="s">
        <v>191</v>
      </c>
      <c r="D698" s="1" t="s">
        <v>189</v>
      </c>
      <c r="E698" s="1" t="s">
        <v>156</v>
      </c>
      <c r="F698" s="1" t="n">
        <v>786.95</v>
      </c>
      <c r="G698" s="1" t="n">
        <v>786.95</v>
      </c>
      <c r="H698" s="1" t="str">
        <f aca="false">IF(ABS(F698-G698)&lt;=0.01,"PASS","CHECK")</f>
        <v>PASS</v>
      </c>
    </row>
    <row r="699" customFormat="false" ht="15" hidden="false" customHeight="true" outlineLevel="0" collapsed="false">
      <c r="A699" s="1" t="s">
        <v>104</v>
      </c>
      <c r="B699" s="7" t="n">
        <v>46023</v>
      </c>
      <c r="C699" s="1" t="s">
        <v>191</v>
      </c>
      <c r="D699" s="1" t="s">
        <v>189</v>
      </c>
      <c r="E699" s="1" t="s">
        <v>156</v>
      </c>
      <c r="F699" s="1" t="n">
        <v>817.15</v>
      </c>
      <c r="G699" s="1" t="n">
        <v>817.15</v>
      </c>
      <c r="H699" s="1" t="str">
        <f aca="false">IF(ABS(F699-G699)&lt;=0.01,"PASS","CHECK")</f>
        <v>PASS</v>
      </c>
    </row>
    <row r="700" customFormat="false" ht="15" hidden="false" customHeight="true" outlineLevel="0" collapsed="false">
      <c r="A700" s="1" t="s">
        <v>104</v>
      </c>
      <c r="B700" s="7" t="n">
        <v>46054</v>
      </c>
      <c r="C700" s="1" t="s">
        <v>191</v>
      </c>
      <c r="D700" s="1" t="s">
        <v>189</v>
      </c>
      <c r="E700" s="1" t="s">
        <v>156</v>
      </c>
      <c r="F700" s="1" t="n">
        <v>821.21</v>
      </c>
      <c r="G700" s="1" t="n">
        <v>821.21</v>
      </c>
      <c r="H700" s="1" t="str">
        <f aca="false">IF(ABS(F700-G700)&lt;=0.01,"PASS","CHECK")</f>
        <v>PASS</v>
      </c>
    </row>
    <row r="701" customFormat="false" ht="15" hidden="false" customHeight="true" outlineLevel="0" collapsed="false">
      <c r="A701" s="1" t="s">
        <v>104</v>
      </c>
      <c r="B701" s="7" t="n">
        <v>46082</v>
      </c>
      <c r="C701" s="1" t="s">
        <v>191</v>
      </c>
      <c r="D701" s="1" t="s">
        <v>189</v>
      </c>
      <c r="E701" s="1" t="s">
        <v>156</v>
      </c>
      <c r="F701" s="1" t="n">
        <v>745.24</v>
      </c>
      <c r="G701" s="1" t="n">
        <v>745.24</v>
      </c>
      <c r="H701" s="1" t="str">
        <f aca="false">IF(ABS(F701-G701)&lt;=0.01,"PASS","CHECK")</f>
        <v>PASS</v>
      </c>
    </row>
    <row r="702" customFormat="false" ht="15" hidden="false" customHeight="true" outlineLevel="0" collapsed="false">
      <c r="A702" s="1" t="s">
        <v>104</v>
      </c>
      <c r="B702" s="7" t="n">
        <v>46113</v>
      </c>
      <c r="C702" s="1" t="s">
        <v>191</v>
      </c>
      <c r="D702" s="1" t="s">
        <v>189</v>
      </c>
      <c r="E702" s="1" t="s">
        <v>156</v>
      </c>
      <c r="F702" s="1" t="n">
        <v>828.98</v>
      </c>
      <c r="G702" s="1" t="n">
        <v>828.98</v>
      </c>
      <c r="H702" s="1" t="str">
        <f aca="false">IF(ABS(F702-G702)&lt;=0.01,"PASS","CHECK")</f>
        <v>PASS</v>
      </c>
    </row>
    <row r="703" customFormat="false" ht="15" hidden="false" customHeight="true" outlineLevel="0" collapsed="false">
      <c r="A703" s="1" t="s">
        <v>104</v>
      </c>
      <c r="B703" s="7" t="n">
        <v>46143</v>
      </c>
      <c r="C703" s="1" t="s">
        <v>191</v>
      </c>
      <c r="D703" s="1" t="s">
        <v>189</v>
      </c>
      <c r="E703" s="1" t="s">
        <v>156</v>
      </c>
      <c r="F703" s="1" t="n">
        <v>806.15</v>
      </c>
      <c r="G703" s="1" t="n">
        <v>806.15</v>
      </c>
      <c r="H703" s="1" t="str">
        <f aca="false">IF(ABS(F703-G703)&lt;=0.01,"PASS","CHECK")</f>
        <v>PASS</v>
      </c>
    </row>
    <row r="704" customFormat="false" ht="15" hidden="false" customHeight="true" outlineLevel="0" collapsed="false">
      <c r="A704" s="1" t="s">
        <v>104</v>
      </c>
      <c r="B704" s="7" t="n">
        <v>46174</v>
      </c>
      <c r="C704" s="1" t="s">
        <v>191</v>
      </c>
      <c r="D704" s="1" t="s">
        <v>189</v>
      </c>
      <c r="E704" s="1" t="s">
        <v>156</v>
      </c>
      <c r="F704" s="1" t="n">
        <v>837.09</v>
      </c>
      <c r="G704" s="1" t="n">
        <v>837.09</v>
      </c>
      <c r="H704" s="1" t="str">
        <f aca="false">IF(ABS(F704-G704)&lt;=0.01,"PASS","CHECK")</f>
        <v>PASS</v>
      </c>
    </row>
    <row r="705" customFormat="false" ht="15" hidden="false" customHeight="true" outlineLevel="0" collapsed="false">
      <c r="A705" s="1" t="s">
        <v>104</v>
      </c>
      <c r="B705" s="7" t="n">
        <v>46204</v>
      </c>
      <c r="C705" s="1" t="s">
        <v>191</v>
      </c>
      <c r="D705" s="1" t="s">
        <v>189</v>
      </c>
      <c r="E705" s="1" t="s">
        <v>156</v>
      </c>
      <c r="F705" s="1" t="n">
        <v>814.04</v>
      </c>
      <c r="G705" s="1" t="n">
        <v>814.04</v>
      </c>
      <c r="H705" s="1" t="str">
        <f aca="false">IF(ABS(F705-G705)&lt;=0.01,"PASS","CHECK")</f>
        <v>PASS</v>
      </c>
    </row>
    <row r="706" customFormat="false" ht="15" hidden="false" customHeight="true" outlineLevel="0" collapsed="false">
      <c r="A706" s="1" t="s">
        <v>104</v>
      </c>
      <c r="B706" s="7" t="n">
        <v>46235</v>
      </c>
      <c r="C706" s="1" t="s">
        <v>191</v>
      </c>
      <c r="D706" s="1" t="s">
        <v>189</v>
      </c>
      <c r="E706" s="1" t="s">
        <v>156</v>
      </c>
      <c r="F706" s="1" t="n">
        <v>845.28</v>
      </c>
      <c r="G706" s="1" t="n">
        <v>845.28</v>
      </c>
      <c r="H706" s="1" t="str">
        <f aca="false">IF(ABS(F706-G706)&lt;=0.01,"PASS","CHECK")</f>
        <v>PASS</v>
      </c>
    </row>
    <row r="707" customFormat="false" ht="15" hidden="false" customHeight="true" outlineLevel="0" collapsed="false">
      <c r="A707" s="1" t="s">
        <v>104</v>
      </c>
      <c r="B707" s="7" t="n">
        <v>46266</v>
      </c>
      <c r="C707" s="1" t="s">
        <v>191</v>
      </c>
      <c r="D707" s="1" t="s">
        <v>189</v>
      </c>
      <c r="E707" s="1" t="s">
        <v>156</v>
      </c>
      <c r="F707" s="1" t="n">
        <v>849.48</v>
      </c>
      <c r="G707" s="1" t="n">
        <v>849.48</v>
      </c>
      <c r="H707" s="1" t="str">
        <f aca="false">IF(ABS(F707-G707)&lt;=0.01,"PASS","CHECK")</f>
        <v>PASS</v>
      </c>
    </row>
    <row r="708" customFormat="false" ht="15" hidden="false" customHeight="true" outlineLevel="0" collapsed="false">
      <c r="A708" s="1" t="s">
        <v>104</v>
      </c>
      <c r="B708" s="7" t="n">
        <v>46271</v>
      </c>
      <c r="C708" s="1" t="s">
        <v>191</v>
      </c>
      <c r="D708" s="1" t="s">
        <v>189</v>
      </c>
      <c r="E708" s="1" t="s">
        <v>156</v>
      </c>
      <c r="F708" s="1" t="n">
        <v>137.41</v>
      </c>
      <c r="G708" s="1" t="n">
        <v>137.41</v>
      </c>
      <c r="H708" s="1" t="str">
        <f aca="false">IF(ABS(F708-G708)&lt;=0.01,"PASS","CHECK")</f>
        <v>PASS</v>
      </c>
    </row>
    <row r="709" customFormat="false" ht="15" hidden="false" customHeight="true" outlineLevel="0" collapsed="false">
      <c r="A709" s="1" t="s">
        <v>104</v>
      </c>
      <c r="B709" s="7" t="n">
        <v>45748</v>
      </c>
      <c r="C709" s="1" t="s">
        <v>192</v>
      </c>
      <c r="D709" s="1" t="s">
        <v>193</v>
      </c>
      <c r="E709" s="1" t="s">
        <v>182</v>
      </c>
      <c r="F709" s="1" t="n">
        <v>38112.66</v>
      </c>
      <c r="G709" s="1" t="n">
        <v>38112.66</v>
      </c>
      <c r="H709" s="1" t="str">
        <f aca="false">IF(ABS(F709-G709)&lt;=0.01,"PASS","CHECK")</f>
        <v>PASS</v>
      </c>
    </row>
    <row r="710" customFormat="false" ht="15" hidden="false" customHeight="true" outlineLevel="0" collapsed="false">
      <c r="A710" s="1" t="s">
        <v>104</v>
      </c>
      <c r="B710" s="7" t="n">
        <v>46113</v>
      </c>
      <c r="C710" s="1" t="s">
        <v>192</v>
      </c>
      <c r="D710" s="1" t="s">
        <v>193</v>
      </c>
      <c r="E710" s="1" t="s">
        <v>182</v>
      </c>
      <c r="F710" s="1" t="n">
        <v>41161.67</v>
      </c>
      <c r="G710" s="1" t="n">
        <v>41161.67</v>
      </c>
      <c r="H710" s="1" t="str">
        <f aca="false">IF(ABS(F710-G710)&lt;=0.01,"PASS","CHECK")</f>
        <v>PASS</v>
      </c>
    </row>
    <row r="711" customFormat="false" ht="15" hidden="false" customHeight="true" outlineLevel="0" collapsed="false">
      <c r="A711" s="1" t="s">
        <v>104</v>
      </c>
      <c r="B711" s="7" t="n">
        <v>46271</v>
      </c>
      <c r="C711" s="1" t="s">
        <v>192</v>
      </c>
      <c r="D711" s="1" t="s">
        <v>193</v>
      </c>
      <c r="E711" s="1" t="s">
        <v>182</v>
      </c>
      <c r="F711" s="1" t="n">
        <v>18824.19</v>
      </c>
      <c r="G711" s="1" t="n">
        <v>18824.19</v>
      </c>
      <c r="H711" s="1" t="str">
        <f aca="false">IF(ABS(F711-G711)&lt;=0.01,"PASS","CHECK")</f>
        <v>PASS</v>
      </c>
    </row>
    <row r="712" customFormat="false" ht="15" hidden="false" customHeight="true" outlineLevel="0" collapsed="false">
      <c r="A712" s="1" t="s">
        <v>104</v>
      </c>
      <c r="B712" s="7" t="n">
        <v>46271</v>
      </c>
      <c r="C712" s="1" t="s">
        <v>194</v>
      </c>
      <c r="D712" s="1" t="s">
        <v>195</v>
      </c>
      <c r="E712" s="1" t="s">
        <v>196</v>
      </c>
      <c r="F712" s="1" t="n">
        <v>1549.92</v>
      </c>
      <c r="G712" s="1" t="n">
        <v>1549.92</v>
      </c>
      <c r="H712" s="1" t="str">
        <f aca="false">IF(ABS(F712-G712)&lt;=0.01,"PASS","CHECK")</f>
        <v>PASS</v>
      </c>
    </row>
    <row r="713" customFormat="false" ht="15" hidden="false" customHeight="true" outlineLevel="0" collapsed="false">
      <c r="B713" s="7"/>
      <c r="C713" s="1" t="s">
        <v>209</v>
      </c>
      <c r="F713" s="6" t="n">
        <f aca="false">SUM(F6:F712)</f>
        <v>98196857.92</v>
      </c>
      <c r="G713" s="6" t="n">
        <f aca="false">SUM(G6:G712)</f>
        <v>98196857.92</v>
      </c>
      <c r="H713" s="1" t="str">
        <f aca="false">IF(ABS(F713-G713)&lt;=0.01,"PASS","ERROR")</f>
        <v>PASS</v>
      </c>
    </row>
    <row r="714" customFormat="false" ht="15" hidden="false" customHeight="true" outlineLevel="0" collapsed="false">
      <c r="B714" s="7"/>
      <c r="C714" s="1" t="s">
        <v>210</v>
      </c>
      <c r="F714" s="6" t="n">
        <f aca="false">F713-G713</f>
        <v>0</v>
      </c>
      <c r="H714" s="1" t="str">
        <f aca="false">IF(ABS(F714)&lt;=0.01,"PASS","ERROR")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45"/>
    <col collapsed="false" customWidth="true" hidden="false" outlineLevel="0" max="3" min="3" style="1" width="23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211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6</v>
      </c>
      <c r="B5" s="4" t="s">
        <v>7</v>
      </c>
      <c r="C5" s="4" t="s">
        <v>212</v>
      </c>
      <c r="D5" s="5"/>
    </row>
    <row r="6" customFormat="false" ht="15" hidden="false" customHeight="true" outlineLevel="0" collapsed="false">
      <c r="A6" s="1" t="s">
        <v>3</v>
      </c>
      <c r="B6" s="1" t="s">
        <v>213</v>
      </c>
      <c r="C6" s="1" t="s">
        <v>214</v>
      </c>
    </row>
    <row r="7" customFormat="false" ht="15" hidden="false" customHeight="true" outlineLevel="0" collapsed="false">
      <c r="A7" s="1" t="s">
        <v>215</v>
      </c>
      <c r="B7" s="6" t="n">
        <f aca="false">SUM(07_Current_NonCurrent!E6:E1048576)</f>
        <v>22925112.4600637</v>
      </c>
      <c r="C7" s="1" t="s">
        <v>216</v>
      </c>
    </row>
    <row r="8" customFormat="false" ht="15" hidden="false" customHeight="true" outlineLevel="0" collapsed="false">
      <c r="A8" s="1" t="s">
        <v>217</v>
      </c>
      <c r="B8" s="6" t="n">
        <f aca="false">SUM(07_Current_NonCurrent!C6:C1048576)</f>
        <v>2568289.52725644</v>
      </c>
      <c r="C8" s="1" t="s">
        <v>216</v>
      </c>
    </row>
    <row r="9" customFormat="false" ht="15" hidden="false" customHeight="true" outlineLevel="0" collapsed="false">
      <c r="A9" s="1" t="s">
        <v>218</v>
      </c>
      <c r="B9" s="6" t="n">
        <f aca="false">SUM(07_Current_NonCurrent!D6:D1048576)</f>
        <v>20356822.9328073</v>
      </c>
      <c r="C9" s="1" t="s">
        <v>216</v>
      </c>
    </row>
    <row r="10" customFormat="false" ht="15" hidden="false" customHeight="true" outlineLevel="0" collapsed="false">
      <c r="A10" s="1" t="s">
        <v>16</v>
      </c>
      <c r="B10" s="6" t="n">
        <f aca="false">SUMIFS(05_ROU_Depreciation!G:G,05_ROU_Depreciation!B:B,"REPORTING")</f>
        <v>21883349.2369707</v>
      </c>
      <c r="C10" s="1" t="s">
        <v>216</v>
      </c>
    </row>
    <row r="11" customFormat="false" ht="15" hidden="false" customHeight="true" outlineLevel="0" collapsed="false">
      <c r="A11" s="1" t="s">
        <v>219</v>
      </c>
      <c r="B11" s="6" t="n">
        <f aca="false">SUM(06_IndAS109_Deposit!H6:H1048576)</f>
        <v>32721096.5921766</v>
      </c>
      <c r="C11" s="1" t="s">
        <v>216</v>
      </c>
    </row>
    <row r="12" customFormat="false" ht="15" hidden="false" customHeight="true" outlineLevel="0" collapsed="false">
      <c r="A12" s="1" t="s">
        <v>220</v>
      </c>
      <c r="B12" s="6" t="n">
        <f aca="false">SUM(06_IndAS109_Deposit!I6:I1048576)</f>
        <v>360234.651318291</v>
      </c>
      <c r="C12" s="1" t="s">
        <v>216</v>
      </c>
    </row>
    <row r="13" customFormat="false" ht="15" hidden="false" customHeight="true" outlineLevel="0" collapsed="false">
      <c r="A13" s="1" t="s">
        <v>22</v>
      </c>
      <c r="B13" s="6" t="n">
        <f aca="false">SUM(12_Restoration_Provision!F6:F1048576)</f>
        <v>8491163.90487019</v>
      </c>
      <c r="C13" s="1" t="s">
        <v>216</v>
      </c>
    </row>
    <row r="14" customFormat="false" ht="15" hidden="false" customHeight="true" outlineLevel="0" collapsed="false">
      <c r="A14" s="1" t="s">
        <v>221</v>
      </c>
      <c r="B14" s="6" t="n">
        <f aca="false">SUM(13_Modifications_Remeasurement!G6:G1048576)</f>
        <v>0</v>
      </c>
      <c r="C14" s="1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45"/>
    <col collapsed="false" customWidth="true" hidden="false" outlineLevel="0" max="8" min="8" style="1" width="15"/>
  </cols>
  <sheetData>
    <row r="1" customFormat="false" ht="17.25" hidden="false" customHeight="true" outlineLevel="0" collapsed="false">
      <c r="A1" s="2" t="s">
        <v>222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223</v>
      </c>
      <c r="C5" s="4" t="s">
        <v>224</v>
      </c>
      <c r="D5" s="4" t="s">
        <v>225</v>
      </c>
      <c r="E5" s="4" t="s">
        <v>226</v>
      </c>
      <c r="F5" s="4" t="s">
        <v>227</v>
      </c>
      <c r="G5" s="4" t="s">
        <v>228</v>
      </c>
      <c r="H5" s="4" t="s">
        <v>168</v>
      </c>
    </row>
    <row r="6" customFormat="false" ht="15" hidden="false" customHeight="true" outlineLevel="0" collapsed="false">
      <c r="A6" s="1" t="s">
        <v>65</v>
      </c>
      <c r="B6" s="1" t="n">
        <f aca="false">SUMIFS(02_Payment_Schedule!E:E,02_Payment_Schedule!A:A,A6,02_Payment_Schedule!D:D,"&gt;"&amp;00_Control!$B$3,02_Payment_Schedule!D:D,"&lt;="&amp;EDATE(00_Control!$B$3,12))</f>
        <v>0</v>
      </c>
      <c r="C6" s="1" t="n">
        <f aca="false">SUMIFS(02_Payment_Schedule!E:E,02_Payment_Schedule!A:A,A6,02_Payment_Schedule!D:D,"&gt;"&amp;EDATE(00_Control!$B$3,12),02_Payment_Schedule!D:D,"&lt;="&amp;EDATE(00_Control!$B$3,24))</f>
        <v>0</v>
      </c>
      <c r="D6" s="1" t="n">
        <f aca="false">SUMIFS(02_Payment_Schedule!E:E,02_Payment_Schedule!A:A,A6,02_Payment_Schedule!D:D,"&gt;"&amp;EDATE(00_Control!$B$3,24),02_Payment_Schedule!D:D,"&lt;="&amp;EDATE(00_Control!$B$3,36))</f>
        <v>0</v>
      </c>
      <c r="E6" s="1" t="n">
        <f aca="false">SUMIFS(02_Payment_Schedule!E:E,02_Payment_Schedule!A:A,A6,02_Payment_Schedule!D:D,"&gt;"&amp;EDATE(00_Control!$B$3,36),02_Payment_Schedule!D:D,"&lt;="&amp;EDATE(00_Control!$B$3,48))</f>
        <v>0</v>
      </c>
      <c r="F6" s="1" t="n">
        <f aca="false">SUMIFS(02_Payment_Schedule!E:E,02_Payment_Schedule!A:A,A6,02_Payment_Schedule!D:D,"&gt;"&amp;EDATE(00_Control!$B$3,48),02_Payment_Schedule!D:D,"&lt;="&amp;EDATE(00_Control!$B$3,60))</f>
        <v>0</v>
      </c>
      <c r="G6" s="1" t="n">
        <f aca="false">SUMIFS(02_Payment_Schedule!E:E,02_Payment_Schedule!A:A,A6,02_Payment_Schedule!D:D,"&gt;"&amp;EDATE(00_Control!$B$3,60))</f>
        <v>0</v>
      </c>
      <c r="H6" s="1" t="n">
        <f aca="false">SUM(B6:G6)</f>
        <v>0</v>
      </c>
    </row>
    <row r="7" customFormat="false" ht="15" hidden="false" customHeight="true" outlineLevel="0" collapsed="false">
      <c r="A7" s="1" t="s">
        <v>74</v>
      </c>
      <c r="B7" s="1" t="n">
        <f aca="false">SUMIFS(02_Payment_Schedule!E:E,02_Payment_Schedule!A:A,A7,02_Payment_Schedule!D:D,"&gt;"&amp;00_Control!$B$3,02_Payment_Schedule!D:D,"&lt;="&amp;EDATE(00_Control!$B$3,12))</f>
        <v>2075000</v>
      </c>
      <c r="C7" s="1" t="n">
        <f aca="false">SUMIFS(02_Payment_Schedule!E:E,02_Payment_Schedule!A:A,A7,02_Payment_Schedule!D:D,"&gt;"&amp;EDATE(00_Control!$B$3,12),02_Payment_Schedule!D:D,"&lt;="&amp;EDATE(00_Control!$B$3,24))</f>
        <v>2175000</v>
      </c>
      <c r="D7" s="1" t="n">
        <f aca="false">SUMIFS(02_Payment_Schedule!E:E,02_Payment_Schedule!A:A,A7,02_Payment_Schedule!D:D,"&gt;"&amp;EDATE(00_Control!$B$3,24),02_Payment_Schedule!D:D,"&lt;="&amp;EDATE(00_Control!$B$3,36))</f>
        <v>2200000</v>
      </c>
      <c r="E7" s="1" t="n">
        <f aca="false">SUMIFS(02_Payment_Schedule!E:E,02_Payment_Schedule!A:A,A7,02_Payment_Schedule!D:D,"&gt;"&amp;EDATE(00_Control!$B$3,36),02_Payment_Schedule!D:D,"&lt;="&amp;EDATE(00_Control!$B$3,48))</f>
        <v>550000</v>
      </c>
      <c r="F7" s="1" t="n">
        <f aca="false">SUMIFS(02_Payment_Schedule!E:E,02_Payment_Schedule!A:A,A7,02_Payment_Schedule!D:D,"&gt;"&amp;EDATE(00_Control!$B$3,48),02_Payment_Schedule!D:D,"&lt;="&amp;EDATE(00_Control!$B$3,60))</f>
        <v>0</v>
      </c>
      <c r="G7" s="1" t="n">
        <f aca="false">SUMIFS(02_Payment_Schedule!E:E,02_Payment_Schedule!A:A,A7,02_Payment_Schedule!D:D,"&gt;"&amp;EDATE(00_Control!$B$3,60))</f>
        <v>0</v>
      </c>
      <c r="H7" s="1" t="n">
        <f aca="false">SUM(B7:G7)</f>
        <v>7000000</v>
      </c>
    </row>
    <row r="8" customFormat="false" ht="15" hidden="false" customHeight="true" outlineLevel="0" collapsed="false">
      <c r="A8" s="1" t="s">
        <v>80</v>
      </c>
      <c r="B8" s="1" t="n">
        <f aca="false">SUMIFS(02_Payment_Schedule!E:E,02_Payment_Schedule!A:A,A8,02_Payment_Schedule!D:D,"&gt;"&amp;00_Control!$B$3,02_Payment_Schedule!D:D,"&lt;="&amp;EDATE(00_Control!$B$3,12))</f>
        <v>180000</v>
      </c>
      <c r="C8" s="1" t="n">
        <f aca="false">SUMIFS(02_Payment_Schedule!E:E,02_Payment_Schedule!A:A,A8,02_Payment_Schedule!D:D,"&gt;"&amp;EDATE(00_Control!$B$3,12),02_Payment_Schedule!D:D,"&lt;="&amp;EDATE(00_Control!$B$3,24))</f>
        <v>189000</v>
      </c>
      <c r="D8" s="1" t="n">
        <f aca="false">SUMIFS(02_Payment_Schedule!E:E,02_Payment_Schedule!A:A,A8,02_Payment_Schedule!D:D,"&gt;"&amp;EDATE(00_Control!$B$3,24),02_Payment_Schedule!D:D,"&lt;="&amp;EDATE(00_Control!$B$3,36))</f>
        <v>198450</v>
      </c>
      <c r="E8" s="1" t="n">
        <f aca="false">SUMIFS(02_Payment_Schedule!E:E,02_Payment_Schedule!A:A,A8,02_Payment_Schedule!D:D,"&gt;"&amp;EDATE(00_Control!$B$3,36),02_Payment_Schedule!D:D,"&lt;="&amp;EDATE(00_Control!$B$3,48))</f>
        <v>208372.5</v>
      </c>
      <c r="F8" s="1" t="n">
        <f aca="false">SUMIFS(02_Payment_Schedule!E:E,02_Payment_Schedule!A:A,A8,02_Payment_Schedule!D:D,"&gt;"&amp;EDATE(00_Control!$B$3,48),02_Payment_Schedule!D:D,"&lt;="&amp;EDATE(00_Control!$B$3,60))</f>
        <v>218791.125</v>
      </c>
      <c r="G8" s="1" t="n">
        <f aca="false">SUMIFS(02_Payment_Schedule!E:E,02_Payment_Schedule!A:A,A8,02_Payment_Schedule!D:D,"&gt;"&amp;EDATE(00_Control!$B$3,60))</f>
        <v>0</v>
      </c>
      <c r="H8" s="1" t="n">
        <f aca="false">SUM(B8:G8)</f>
        <v>994613.625</v>
      </c>
    </row>
    <row r="9" customFormat="false" ht="15" hidden="false" customHeight="true" outlineLevel="0" collapsed="false">
      <c r="A9" s="1" t="s">
        <v>84</v>
      </c>
      <c r="B9" s="1" t="n">
        <f aca="false">SUMIFS(02_Payment_Schedule!E:E,02_Payment_Schedule!A:A,A9,02_Payment_Schedule!D:D,"&gt;"&amp;00_Control!$B$3,02_Payment_Schedule!D:D,"&lt;="&amp;EDATE(00_Control!$B$3,12))</f>
        <v>660000</v>
      </c>
      <c r="C9" s="1" t="n">
        <f aca="false">SUMIFS(02_Payment_Schedule!E:E,02_Payment_Schedule!A:A,A9,02_Payment_Schedule!D:D,"&gt;"&amp;EDATE(00_Control!$B$3,12),02_Payment_Schedule!D:D,"&lt;="&amp;EDATE(00_Control!$B$3,24))</f>
        <v>220000</v>
      </c>
      <c r="D9" s="1" t="n">
        <f aca="false">SUMIFS(02_Payment_Schedule!E:E,02_Payment_Schedule!A:A,A9,02_Payment_Schedule!D:D,"&gt;"&amp;EDATE(00_Control!$B$3,24),02_Payment_Schedule!D:D,"&lt;="&amp;EDATE(00_Control!$B$3,36))</f>
        <v>0</v>
      </c>
      <c r="E9" s="1" t="n">
        <f aca="false">SUMIFS(02_Payment_Schedule!E:E,02_Payment_Schedule!A:A,A9,02_Payment_Schedule!D:D,"&gt;"&amp;EDATE(00_Control!$B$3,36),02_Payment_Schedule!D:D,"&lt;="&amp;EDATE(00_Control!$B$3,48))</f>
        <v>0</v>
      </c>
      <c r="F9" s="1" t="n">
        <f aca="false">SUMIFS(02_Payment_Schedule!E:E,02_Payment_Schedule!A:A,A9,02_Payment_Schedule!D:D,"&gt;"&amp;EDATE(00_Control!$B$3,48),02_Payment_Schedule!D:D,"&lt;="&amp;EDATE(00_Control!$B$3,60))</f>
        <v>0</v>
      </c>
      <c r="G9" s="1" t="n">
        <f aca="false">SUMIFS(02_Payment_Schedule!E:E,02_Payment_Schedule!A:A,A9,02_Payment_Schedule!D:D,"&gt;"&amp;EDATE(00_Control!$B$3,60))</f>
        <v>0</v>
      </c>
      <c r="H9" s="1" t="n">
        <f aca="false">SUM(B9:G9)</f>
        <v>880000</v>
      </c>
    </row>
    <row r="10" customFormat="false" ht="15" hidden="false" customHeight="true" outlineLevel="0" collapsed="false">
      <c r="A10" s="1" t="s">
        <v>88</v>
      </c>
      <c r="B10" s="1" t="n">
        <f aca="false">SUMIFS(02_Payment_Schedule!E:E,02_Payment_Schedule!A:A,A10,02_Payment_Schedule!D:D,"&gt;"&amp;00_Control!$B$3,02_Payment_Schedule!D:D,"&lt;="&amp;EDATE(00_Control!$B$3,12))</f>
        <v>1333200</v>
      </c>
      <c r="C10" s="1" t="n">
        <f aca="false">SUMIFS(02_Payment_Schedule!E:E,02_Payment_Schedule!A:A,A10,02_Payment_Schedule!D:D,"&gt;"&amp;EDATE(00_Control!$B$3,12),02_Payment_Schedule!D:D,"&lt;="&amp;EDATE(00_Control!$B$3,24))</f>
        <v>1029600</v>
      </c>
      <c r="D10" s="1" t="n">
        <f aca="false">SUMIFS(02_Payment_Schedule!E:E,02_Payment_Schedule!A:A,A10,02_Payment_Schedule!D:D,"&gt;"&amp;EDATE(00_Control!$B$3,24),02_Payment_Schedule!D:D,"&lt;="&amp;EDATE(00_Control!$B$3,36))</f>
        <v>0</v>
      </c>
      <c r="E10" s="1" t="n">
        <f aca="false">SUMIFS(02_Payment_Schedule!E:E,02_Payment_Schedule!A:A,A10,02_Payment_Schedule!D:D,"&gt;"&amp;EDATE(00_Control!$B$3,36),02_Payment_Schedule!D:D,"&lt;="&amp;EDATE(00_Control!$B$3,48))</f>
        <v>0</v>
      </c>
      <c r="F10" s="1" t="n">
        <f aca="false">SUMIFS(02_Payment_Schedule!E:E,02_Payment_Schedule!A:A,A10,02_Payment_Schedule!D:D,"&gt;"&amp;EDATE(00_Control!$B$3,48),02_Payment_Schedule!D:D,"&lt;="&amp;EDATE(00_Control!$B$3,60))</f>
        <v>0</v>
      </c>
      <c r="G10" s="1" t="n">
        <f aca="false">SUMIFS(02_Payment_Schedule!E:E,02_Payment_Schedule!A:A,A10,02_Payment_Schedule!D:D,"&gt;"&amp;EDATE(00_Control!$B$3,60))</f>
        <v>0</v>
      </c>
      <c r="H10" s="1" t="n">
        <f aca="false">SUM(B10:G10)</f>
        <v>2362800</v>
      </c>
    </row>
    <row r="11" customFormat="false" ht="15" hidden="false" customHeight="true" outlineLevel="0" collapsed="false">
      <c r="A11" s="1" t="s">
        <v>91</v>
      </c>
      <c r="B11" s="1" t="n">
        <f aca="false">SUMIFS(02_Payment_Schedule!E:E,02_Payment_Schedule!A:A,A11,02_Payment_Schedule!D:D,"&gt;"&amp;00_Control!$B$3,02_Payment_Schedule!D:D,"&lt;="&amp;EDATE(00_Control!$B$3,12))</f>
        <v>964800</v>
      </c>
      <c r="C11" s="1" t="n">
        <f aca="false">SUMIFS(02_Payment_Schedule!E:E,02_Payment_Schedule!A:A,A11,02_Payment_Schedule!D:D,"&gt;"&amp;EDATE(00_Control!$B$3,12),02_Payment_Schedule!D:D,"&lt;="&amp;EDATE(00_Control!$B$3,24))</f>
        <v>993744</v>
      </c>
      <c r="D11" s="1" t="n">
        <f aca="false">SUMIFS(02_Payment_Schedule!E:E,02_Payment_Schedule!A:A,A11,02_Payment_Schedule!D:D,"&gt;"&amp;EDATE(00_Control!$B$3,24),02_Payment_Schedule!D:D,"&lt;="&amp;EDATE(00_Control!$B$3,36))</f>
        <v>1023556.32</v>
      </c>
      <c r="E11" s="1" t="n">
        <f aca="false">SUMIFS(02_Payment_Schedule!E:E,02_Payment_Schedule!A:A,A11,02_Payment_Schedule!D:D,"&gt;"&amp;EDATE(00_Control!$B$3,36),02_Payment_Schedule!D:D,"&lt;="&amp;EDATE(00_Control!$B$3,48))</f>
        <v>874181.6</v>
      </c>
      <c r="F11" s="1" t="n">
        <f aca="false">SUMIFS(02_Payment_Schedule!E:E,02_Payment_Schedule!A:A,A11,02_Payment_Schedule!D:D,"&gt;"&amp;EDATE(00_Control!$B$3,48),02_Payment_Schedule!D:D,"&lt;="&amp;EDATE(00_Control!$B$3,60))</f>
        <v>0</v>
      </c>
      <c r="G11" s="1" t="n">
        <f aca="false">SUMIFS(02_Payment_Schedule!E:E,02_Payment_Schedule!A:A,A11,02_Payment_Schedule!D:D,"&gt;"&amp;EDATE(00_Control!$B$3,60))</f>
        <v>0</v>
      </c>
      <c r="H11" s="1" t="n">
        <f aca="false">SUM(B11:G11)</f>
        <v>3856281.92</v>
      </c>
    </row>
    <row r="12" customFormat="false" ht="15" hidden="false" customHeight="true" outlineLevel="0" collapsed="false">
      <c r="A12" s="1" t="s">
        <v>94</v>
      </c>
      <c r="B12" s="1" t="n">
        <f aca="false">SUMIFS(02_Payment_Schedule!E:E,02_Payment_Schedule!A:A,A12,02_Payment_Schedule!D:D,"&gt;"&amp;00_Control!$B$3,02_Payment_Schedule!D:D,"&lt;="&amp;EDATE(00_Control!$B$3,12))</f>
        <v>492000</v>
      </c>
      <c r="C12" s="1" t="n">
        <f aca="false">SUMIFS(02_Payment_Schedule!E:E,02_Payment_Schedule!A:A,A12,02_Payment_Schedule!D:D,"&gt;"&amp;EDATE(00_Control!$B$3,12),02_Payment_Schedule!D:D,"&lt;="&amp;EDATE(00_Control!$B$3,24))</f>
        <v>516600</v>
      </c>
      <c r="D12" s="1" t="n">
        <f aca="false">SUMIFS(02_Payment_Schedule!E:E,02_Payment_Schedule!A:A,A12,02_Payment_Schedule!D:D,"&gt;"&amp;EDATE(00_Control!$B$3,24),02_Payment_Schedule!D:D,"&lt;="&amp;EDATE(00_Control!$B$3,36))</f>
        <v>542430</v>
      </c>
      <c r="E12" s="1" t="n">
        <f aca="false">SUMIFS(02_Payment_Schedule!E:E,02_Payment_Schedule!A:A,A12,02_Payment_Schedule!D:D,"&gt;"&amp;EDATE(00_Control!$B$3,36),02_Payment_Schedule!D:D,"&lt;="&amp;EDATE(00_Control!$B$3,48))</f>
        <v>0</v>
      </c>
      <c r="F12" s="1" t="n">
        <f aca="false">SUMIFS(02_Payment_Schedule!E:E,02_Payment_Schedule!A:A,A12,02_Payment_Schedule!D:D,"&gt;"&amp;EDATE(00_Control!$B$3,48),02_Payment_Schedule!D:D,"&lt;="&amp;EDATE(00_Control!$B$3,60))</f>
        <v>0</v>
      </c>
      <c r="G12" s="1" t="n">
        <f aca="false">SUMIFS(02_Payment_Schedule!E:E,02_Payment_Schedule!A:A,A12,02_Payment_Schedule!D:D,"&gt;"&amp;EDATE(00_Control!$B$3,60))</f>
        <v>0</v>
      </c>
      <c r="H12" s="1" t="n">
        <f aca="false">SUM(B12:G12)</f>
        <v>1551030</v>
      </c>
    </row>
    <row r="13" customFormat="false" ht="15" hidden="false" customHeight="true" outlineLevel="0" collapsed="false">
      <c r="A13" s="1" t="s">
        <v>97</v>
      </c>
      <c r="B13" s="1" t="n">
        <f aca="false">SUMIFS(02_Payment_Schedule!E:E,02_Payment_Schedule!A:A,A13,02_Payment_Schedule!D:D,"&gt;"&amp;00_Control!$B$3,02_Payment_Schedule!D:D,"&lt;="&amp;EDATE(00_Control!$B$3,12))</f>
        <v>18000</v>
      </c>
      <c r="C13" s="1" t="n">
        <f aca="false">SUMIFS(02_Payment_Schedule!E:E,02_Payment_Schedule!A:A,A13,02_Payment_Schedule!D:D,"&gt;"&amp;EDATE(00_Control!$B$3,12),02_Payment_Schedule!D:D,"&lt;="&amp;EDATE(00_Control!$B$3,24))</f>
        <v>0</v>
      </c>
      <c r="D13" s="1" t="n">
        <f aca="false">SUMIFS(02_Payment_Schedule!E:E,02_Payment_Schedule!A:A,A13,02_Payment_Schedule!D:D,"&gt;"&amp;EDATE(00_Control!$B$3,24),02_Payment_Schedule!D:D,"&lt;="&amp;EDATE(00_Control!$B$3,36))</f>
        <v>0</v>
      </c>
      <c r="E13" s="1" t="n">
        <f aca="false">SUMIFS(02_Payment_Schedule!E:E,02_Payment_Schedule!A:A,A13,02_Payment_Schedule!D:D,"&gt;"&amp;EDATE(00_Control!$B$3,36),02_Payment_Schedule!D:D,"&lt;="&amp;EDATE(00_Control!$B$3,48))</f>
        <v>0</v>
      </c>
      <c r="F13" s="1" t="n">
        <f aca="false">SUMIFS(02_Payment_Schedule!E:E,02_Payment_Schedule!A:A,A13,02_Payment_Schedule!D:D,"&gt;"&amp;EDATE(00_Control!$B$3,48),02_Payment_Schedule!D:D,"&lt;="&amp;EDATE(00_Control!$B$3,60))</f>
        <v>0</v>
      </c>
      <c r="G13" s="1" t="n">
        <f aca="false">SUMIFS(02_Payment_Schedule!E:E,02_Payment_Schedule!A:A,A13,02_Payment_Schedule!D:D,"&gt;"&amp;EDATE(00_Control!$B$3,60))</f>
        <v>0</v>
      </c>
      <c r="H13" s="1" t="n">
        <f aca="false">SUM(B13:G13)</f>
        <v>18000</v>
      </c>
    </row>
    <row r="14" customFormat="false" ht="15" hidden="false" customHeight="true" outlineLevel="0" collapsed="false">
      <c r="A14" s="1" t="s">
        <v>101</v>
      </c>
      <c r="B14" s="1" t="n">
        <f aca="false">SUMIFS(02_Payment_Schedule!E:E,02_Payment_Schedule!A:A,A14,02_Payment_Schedule!D:D,"&gt;"&amp;00_Control!$B$3,02_Payment_Schedule!D:D,"&lt;="&amp;EDATE(00_Control!$B$3,12))</f>
        <v>1420000</v>
      </c>
      <c r="C14" s="1" t="n">
        <f aca="false">SUMIFS(02_Payment_Schedule!E:E,02_Payment_Schedule!A:A,A14,02_Payment_Schedule!D:D,"&gt;"&amp;EDATE(00_Control!$B$3,12),02_Payment_Schedule!D:D,"&lt;="&amp;EDATE(00_Control!$B$3,24))</f>
        <v>1500000</v>
      </c>
      <c r="D14" s="1" t="n">
        <f aca="false">SUMIFS(02_Payment_Schedule!E:E,02_Payment_Schedule!A:A,A14,02_Payment_Schedule!D:D,"&gt;"&amp;EDATE(00_Control!$B$3,24),02_Payment_Schedule!D:D,"&lt;="&amp;EDATE(00_Control!$B$3,36))</f>
        <v>1000000</v>
      </c>
      <c r="E14" s="1" t="n">
        <f aca="false">SUMIFS(02_Payment_Schedule!E:E,02_Payment_Schedule!A:A,A14,02_Payment_Schedule!D:D,"&gt;"&amp;EDATE(00_Control!$B$3,36),02_Payment_Schedule!D:D,"&lt;="&amp;EDATE(00_Control!$B$3,48))</f>
        <v>0</v>
      </c>
      <c r="F14" s="1" t="n">
        <f aca="false">SUMIFS(02_Payment_Schedule!E:E,02_Payment_Schedule!A:A,A14,02_Payment_Schedule!D:D,"&gt;"&amp;EDATE(00_Control!$B$3,48),02_Payment_Schedule!D:D,"&lt;="&amp;EDATE(00_Control!$B$3,60))</f>
        <v>0</v>
      </c>
      <c r="G14" s="1" t="n">
        <f aca="false">SUMIFS(02_Payment_Schedule!E:E,02_Payment_Schedule!A:A,A14,02_Payment_Schedule!D:D,"&gt;"&amp;EDATE(00_Control!$B$3,60))</f>
        <v>0</v>
      </c>
      <c r="H14" s="1" t="n">
        <f aca="false">SUM(B14:G14)</f>
        <v>3920000</v>
      </c>
    </row>
    <row r="15" customFormat="false" ht="15" hidden="false" customHeight="true" outlineLevel="0" collapsed="false">
      <c r="A15" s="1" t="s">
        <v>104</v>
      </c>
      <c r="B15" s="1" t="n">
        <f aca="false">SUMIFS(02_Payment_Schedule!E:E,02_Payment_Schedule!A:A,A15,02_Payment_Schedule!D:D,"&gt;"&amp;00_Control!$B$3,02_Payment_Schedule!D:D,"&lt;="&amp;EDATE(00_Control!$B$3,12))</f>
        <v>2153627</v>
      </c>
      <c r="C15" s="1" t="n">
        <f aca="false">SUMIFS(02_Payment_Schedule!E:E,02_Payment_Schedule!A:A,A15,02_Payment_Schedule!D:D,"&gt;"&amp;EDATE(00_Control!$B$3,12),02_Payment_Schedule!D:D,"&lt;="&amp;EDATE(00_Control!$B$3,24))</f>
        <v>2218235.81</v>
      </c>
      <c r="D15" s="1" t="n">
        <f aca="false">SUMIFS(02_Payment_Schedule!E:E,02_Payment_Schedule!A:A,A15,02_Payment_Schedule!D:D,"&gt;"&amp;EDATE(00_Control!$B$3,24),02_Payment_Schedule!D:D,"&lt;="&amp;EDATE(00_Control!$B$3,36))</f>
        <v>1125508.81</v>
      </c>
      <c r="E15" s="1" t="n">
        <f aca="false">SUMIFS(02_Payment_Schedule!E:E,02_Payment_Schedule!A:A,A15,02_Payment_Schedule!D:D,"&gt;"&amp;EDATE(00_Control!$B$3,36),02_Payment_Schedule!D:D,"&lt;="&amp;EDATE(00_Control!$B$3,48))</f>
        <v>0</v>
      </c>
      <c r="F15" s="1" t="n">
        <f aca="false">SUMIFS(02_Payment_Schedule!E:E,02_Payment_Schedule!A:A,A15,02_Payment_Schedule!D:D,"&gt;"&amp;EDATE(00_Control!$B$3,48),02_Payment_Schedule!D:D,"&lt;="&amp;EDATE(00_Control!$B$3,60))</f>
        <v>0</v>
      </c>
      <c r="G15" s="1" t="n">
        <f aca="false">SUMIFS(02_Payment_Schedule!E:E,02_Payment_Schedule!A:A,A15,02_Payment_Schedule!D:D,"&gt;"&amp;EDATE(00_Control!$B$3,60))</f>
        <v>0</v>
      </c>
      <c r="H15" s="1" t="n">
        <f aca="false">SUM(B15:G15)</f>
        <v>5497371.62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9"/>
    <col collapsed="false" customWidth="true" hidden="false" outlineLevel="0" max="4" min="4" style="1" width="30"/>
    <col collapsed="false" customWidth="true" hidden="false" outlineLevel="0" max="5" min="5" style="1" width="32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229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230</v>
      </c>
      <c r="C5" s="4" t="s">
        <v>231</v>
      </c>
      <c r="D5" s="4" t="s">
        <v>232</v>
      </c>
      <c r="E5" s="4" t="s">
        <v>233</v>
      </c>
      <c r="F5" s="4" t="s">
        <v>234</v>
      </c>
    </row>
    <row r="6" customFormat="false" ht="15" hidden="false" customHeight="true" outlineLevel="0" collapsed="false">
      <c r="A6" s="1" t="s">
        <v>65</v>
      </c>
      <c r="B6" s="1" t="s">
        <v>235</v>
      </c>
      <c r="C6" s="3" t="n">
        <v>46477</v>
      </c>
      <c r="D6" s="1" t="s">
        <v>236</v>
      </c>
      <c r="E6" s="1" t="s">
        <v>236</v>
      </c>
      <c r="F6" s="1" t="s">
        <v>237</v>
      </c>
    </row>
    <row r="7" customFormat="false" ht="15" hidden="false" customHeight="true" outlineLevel="0" collapsed="false">
      <c r="A7" s="1" t="s">
        <v>74</v>
      </c>
      <c r="B7" s="1" t="s">
        <v>238</v>
      </c>
      <c r="C7" s="3" t="n">
        <v>47483</v>
      </c>
      <c r="D7" s="1" t="s">
        <v>236</v>
      </c>
      <c r="E7" s="1" t="s">
        <v>236</v>
      </c>
      <c r="F7" s="1" t="s">
        <v>237</v>
      </c>
    </row>
    <row r="8" customFormat="false" ht="15" hidden="false" customHeight="true" outlineLevel="0" collapsed="false">
      <c r="A8" s="1" t="s">
        <v>80</v>
      </c>
      <c r="B8" s="1" t="s">
        <v>239</v>
      </c>
      <c r="C8" s="3" t="n">
        <v>47938</v>
      </c>
      <c r="D8" s="1" t="s">
        <v>236</v>
      </c>
      <c r="E8" s="1" t="s">
        <v>236</v>
      </c>
      <c r="F8" s="1" t="s">
        <v>237</v>
      </c>
    </row>
    <row r="9" customFormat="false" ht="15" hidden="false" customHeight="true" outlineLevel="0" collapsed="false">
      <c r="A9" s="1" t="s">
        <v>84</v>
      </c>
      <c r="B9" s="1" t="s">
        <v>240</v>
      </c>
      <c r="C9" s="3" t="n">
        <v>46766</v>
      </c>
      <c r="D9" s="1" t="s">
        <v>236</v>
      </c>
      <c r="E9" s="1" t="s">
        <v>236</v>
      </c>
      <c r="F9" s="1" t="s">
        <v>237</v>
      </c>
    </row>
    <row r="10" customFormat="false" ht="15" hidden="false" customHeight="true" outlineLevel="0" collapsed="false">
      <c r="A10" s="1" t="s">
        <v>88</v>
      </c>
      <c r="B10" s="1" t="s">
        <v>241</v>
      </c>
      <c r="C10" s="3" t="n">
        <v>46934</v>
      </c>
      <c r="D10" s="1" t="s">
        <v>236</v>
      </c>
      <c r="E10" s="1" t="s">
        <v>236</v>
      </c>
      <c r="F10" s="1" t="s">
        <v>237</v>
      </c>
    </row>
    <row r="11" customFormat="false" ht="15" hidden="false" customHeight="true" outlineLevel="0" collapsed="false">
      <c r="A11" s="1" t="s">
        <v>91</v>
      </c>
      <c r="B11" s="1" t="s">
        <v>242</v>
      </c>
      <c r="C11" s="3" t="n">
        <v>47664</v>
      </c>
      <c r="D11" s="1" t="s">
        <v>236</v>
      </c>
      <c r="E11" s="1" t="s">
        <v>236</v>
      </c>
      <c r="F11" s="1" t="s">
        <v>237</v>
      </c>
    </row>
    <row r="12" customFormat="false" ht="15" hidden="false" customHeight="true" outlineLevel="0" collapsed="false">
      <c r="A12" s="1" t="s">
        <v>94</v>
      </c>
      <c r="B12" s="1" t="s">
        <v>243</v>
      </c>
      <c r="C12" s="3" t="n">
        <v>47391</v>
      </c>
      <c r="D12" s="1" t="s">
        <v>236</v>
      </c>
      <c r="E12" s="1" t="s">
        <v>236</v>
      </c>
      <c r="F12" s="1" t="s">
        <v>237</v>
      </c>
    </row>
    <row r="13" customFormat="false" ht="15" hidden="false" customHeight="true" outlineLevel="0" collapsed="false">
      <c r="A13" s="1" t="s">
        <v>97</v>
      </c>
      <c r="B13" s="1" t="s">
        <v>244</v>
      </c>
      <c r="C13" s="3" t="n">
        <v>46752</v>
      </c>
      <c r="D13" s="1" t="s">
        <v>236</v>
      </c>
      <c r="E13" s="1" t="s">
        <v>236</v>
      </c>
      <c r="F13" s="1" t="s">
        <v>237</v>
      </c>
    </row>
    <row r="14" customFormat="false" ht="15" hidden="false" customHeight="true" outlineLevel="0" collapsed="false">
      <c r="A14" s="1" t="s">
        <v>101</v>
      </c>
      <c r="B14" s="1" t="s">
        <v>245</v>
      </c>
      <c r="C14" s="3" t="n">
        <v>47269</v>
      </c>
      <c r="D14" s="1" t="s">
        <v>236</v>
      </c>
      <c r="E14" s="1" t="s">
        <v>236</v>
      </c>
      <c r="F14" s="1" t="s">
        <v>237</v>
      </c>
    </row>
    <row r="15" customFormat="false" ht="15" hidden="false" customHeight="true" outlineLevel="0" collapsed="false">
      <c r="A15" s="1" t="s">
        <v>104</v>
      </c>
      <c r="B15" s="1" t="s">
        <v>246</v>
      </c>
      <c r="C15" s="3" t="n">
        <v>47208</v>
      </c>
      <c r="D15" s="1" t="s">
        <v>236</v>
      </c>
      <c r="E15" s="1" t="s">
        <v>236</v>
      </c>
      <c r="F15" s="1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7"/>
    <col collapsed="false" customWidth="true" hidden="false" outlineLevel="0" max="5" min="5" style="1" width="45"/>
    <col collapsed="false" customWidth="true" hidden="false" outlineLevel="0" max="6" min="6" style="1" width="12"/>
    <col collapsed="false" customWidth="true" hidden="false" outlineLevel="0" max="8" min="7" style="1" width="27"/>
    <col collapsed="false" customWidth="true" hidden="false" outlineLevel="0" max="9" min="9" style="1" width="45"/>
  </cols>
  <sheetData>
    <row r="1" customFormat="false" ht="17.25" hidden="false" customHeight="true" outlineLevel="0" collapsed="false">
      <c r="A1" s="2" t="s">
        <v>247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116</v>
      </c>
      <c r="C5" s="4" t="s">
        <v>147</v>
      </c>
      <c r="D5" s="4" t="s">
        <v>137</v>
      </c>
      <c r="E5" s="4" t="s">
        <v>248</v>
      </c>
      <c r="F5" s="4" t="s">
        <v>141</v>
      </c>
      <c r="G5" s="4" t="s">
        <v>249</v>
      </c>
      <c r="H5" s="4" t="s">
        <v>250</v>
      </c>
      <c r="I5" s="4" t="s">
        <v>134</v>
      </c>
    </row>
    <row r="6" customFormat="false" ht="15" hidden="false" customHeight="true" outlineLevel="0" collapsed="false">
      <c r="A6" s="1" t="s">
        <v>65</v>
      </c>
      <c r="B6" s="1" t="n">
        <v>1</v>
      </c>
      <c r="C6" s="7" t="n">
        <v>45017</v>
      </c>
      <c r="D6" s="6" t="n">
        <f aca="false">01_Lease_Master!$AG$6</f>
        <v>544466.557627002</v>
      </c>
      <c r="E6" s="6" t="n">
        <f aca="false">D6*((1+01_Lease_Master!$AF$6)^((C6-IF(B6=1,01_Lease_Master!$D$6,C5))/365)-1)</f>
        <v>43557.3246101602</v>
      </c>
      <c r="F6" s="6" t="n">
        <f aca="false">D6+E6</f>
        <v>588023.882237163</v>
      </c>
      <c r="G6" s="1" t="n">
        <f aca="false">01_Lease_Master!$AD$6</f>
        <v>800000</v>
      </c>
      <c r="H6" s="6" t="n">
        <f aca="false">01_Lease_Master!$AF$6</f>
        <v>0.08</v>
      </c>
      <c r="I6" s="1" t="s">
        <v>251</v>
      </c>
    </row>
    <row r="7" customFormat="false" ht="15" hidden="false" customHeight="true" outlineLevel="0" collapsed="false">
      <c r="A7" s="1" t="s">
        <v>65</v>
      </c>
      <c r="B7" s="1" t="n">
        <v>2</v>
      </c>
      <c r="C7" s="7" t="n">
        <v>45383</v>
      </c>
      <c r="D7" s="6" t="n">
        <f aca="false">F6</f>
        <v>588023.882237163</v>
      </c>
      <c r="E7" s="6" t="n">
        <f aca="false">D7*((1+01_Lease_Master!$AF$6)^((C7-IF(B7=1,01_Lease_Master!$D$6,C6))/365)-1)</f>
        <v>47175.829695963</v>
      </c>
      <c r="F7" s="6" t="n">
        <f aca="false">D7+E7</f>
        <v>635199.711933126</v>
      </c>
      <c r="G7" s="1" t="n">
        <f aca="false">01_Lease_Master!$AD$6</f>
        <v>800000</v>
      </c>
      <c r="H7" s="6" t="n">
        <f aca="false">01_Lease_Master!$AF$6</f>
        <v>0.08</v>
      </c>
      <c r="I7" s="1" t="s">
        <v>251</v>
      </c>
    </row>
    <row r="8" customFormat="false" ht="15" hidden="false" customHeight="true" outlineLevel="0" collapsed="false">
      <c r="A8" s="1" t="s">
        <v>65</v>
      </c>
      <c r="B8" s="1" t="n">
        <v>3</v>
      </c>
      <c r="C8" s="7" t="n">
        <v>45748</v>
      </c>
      <c r="D8" s="6" t="n">
        <f aca="false">F7</f>
        <v>635199.711933126</v>
      </c>
      <c r="E8" s="6" t="n">
        <f aca="false">D8*((1+01_Lease_Master!$AF$6)^((C8-IF(B8=1,01_Lease_Master!$D$6,C7))/365)-1)</f>
        <v>50815.9769546501</v>
      </c>
      <c r="F8" s="6" t="n">
        <f aca="false">D8+E8</f>
        <v>686015.688887776</v>
      </c>
      <c r="G8" s="1" t="n">
        <f aca="false">01_Lease_Master!$AD$6</f>
        <v>800000</v>
      </c>
      <c r="H8" s="6" t="n">
        <f aca="false">01_Lease_Master!$AF$6</f>
        <v>0.08</v>
      </c>
      <c r="I8" s="1" t="s">
        <v>251</v>
      </c>
    </row>
    <row r="9" customFormat="false" ht="15" hidden="false" customHeight="true" outlineLevel="0" collapsed="false">
      <c r="A9" s="1" t="s">
        <v>65</v>
      </c>
      <c r="B9" s="1" t="n">
        <v>4</v>
      </c>
      <c r="C9" s="7" t="n">
        <v>46113</v>
      </c>
      <c r="D9" s="6" t="n">
        <f aca="false">F8</f>
        <v>686015.688887776</v>
      </c>
      <c r="E9" s="6" t="n">
        <f aca="false">D9*((1+01_Lease_Master!$AF$6)^((C9-IF(B9=1,01_Lease_Master!$D$6,C8))/365)-1)</f>
        <v>54881.2551110221</v>
      </c>
      <c r="F9" s="6" t="n">
        <f aca="false">D9+E9</f>
        <v>740896.943998798</v>
      </c>
      <c r="G9" s="1" t="n">
        <f aca="false">01_Lease_Master!$AD$6</f>
        <v>800000</v>
      </c>
      <c r="H9" s="6" t="n">
        <f aca="false">01_Lease_Master!$AF$6</f>
        <v>0.08</v>
      </c>
      <c r="I9" s="1" t="s">
        <v>251</v>
      </c>
    </row>
    <row r="10" customFormat="false" ht="15" hidden="false" customHeight="true" outlineLevel="0" collapsed="false">
      <c r="A10" s="1" t="s">
        <v>65</v>
      </c>
      <c r="B10" s="1" t="n">
        <v>5</v>
      </c>
      <c r="C10" s="7" t="n">
        <v>46271</v>
      </c>
      <c r="D10" s="6" t="n">
        <f aca="false">F9</f>
        <v>740896.943998798</v>
      </c>
      <c r="E10" s="6" t="n">
        <f aca="false">D10*((1+01_Lease_Master!$AF$6)^((C10-IF(B10=1,01_Lease_Master!$D$6,C9))/365)-1)</f>
        <v>25098.4687650401</v>
      </c>
      <c r="F10" s="6" t="n">
        <f aca="false">D10+E10</f>
        <v>765995.412763838</v>
      </c>
      <c r="G10" s="1" t="n">
        <f aca="false">01_Lease_Master!$AD$6</f>
        <v>800000</v>
      </c>
      <c r="H10" s="6" t="n">
        <f aca="false">01_Lease_Master!$AF$6</f>
        <v>0.08</v>
      </c>
      <c r="I10" s="1" t="s">
        <v>251</v>
      </c>
    </row>
    <row r="11" customFormat="false" ht="15" hidden="false" customHeight="true" outlineLevel="0" collapsed="false">
      <c r="A11" s="1" t="s">
        <v>74</v>
      </c>
      <c r="B11" s="1" t="n">
        <v>1</v>
      </c>
      <c r="C11" s="7" t="n">
        <v>45658</v>
      </c>
      <c r="D11" s="6" t="n">
        <f aca="false">01_Lease_Master!$AG$7</f>
        <v>178837.968848169</v>
      </c>
      <c r="E11" s="6" t="n">
        <f aca="false">D11*((1+01_Lease_Master!$AF$7)^((C11-IF(B11=1,01_Lease_Master!$D$7,C10))/365)-1)</f>
        <v>16141.4470413345</v>
      </c>
      <c r="F11" s="6" t="n">
        <f aca="false">D11+E11</f>
        <v>194979.415889504</v>
      </c>
      <c r="G11" s="1" t="n">
        <f aca="false">01_Lease_Master!$AD$7</f>
        <v>300000</v>
      </c>
      <c r="H11" s="6" t="n">
        <f aca="false">01_Lease_Master!$AF$7</f>
        <v>0.09</v>
      </c>
      <c r="I11" s="1" t="s">
        <v>251</v>
      </c>
    </row>
    <row r="12" customFormat="false" ht="15" hidden="false" customHeight="true" outlineLevel="0" collapsed="false">
      <c r="A12" s="1" t="s">
        <v>74</v>
      </c>
      <c r="B12" s="1" t="n">
        <v>2</v>
      </c>
      <c r="C12" s="7" t="n">
        <v>46023</v>
      </c>
      <c r="D12" s="6" t="n">
        <f aca="false">F11</f>
        <v>194979.415889504</v>
      </c>
      <c r="E12" s="6" t="n">
        <f aca="false">D12*((1+01_Lease_Master!$AF$7)^((C12-IF(B12=1,01_Lease_Master!$D$7,C11))/365)-1)</f>
        <v>17548.1474300553</v>
      </c>
      <c r="F12" s="6" t="n">
        <f aca="false">D12+E12</f>
        <v>212527.563319559</v>
      </c>
      <c r="G12" s="1" t="n">
        <f aca="false">01_Lease_Master!$AD$7</f>
        <v>300000</v>
      </c>
      <c r="H12" s="6" t="n">
        <f aca="false">01_Lease_Master!$AF$7</f>
        <v>0.09</v>
      </c>
      <c r="I12" s="1" t="s">
        <v>251</v>
      </c>
    </row>
    <row r="13" customFormat="false" ht="15" hidden="false" customHeight="true" outlineLevel="0" collapsed="false">
      <c r="A13" s="1" t="s">
        <v>74</v>
      </c>
      <c r="B13" s="1" t="n">
        <v>3</v>
      </c>
      <c r="C13" s="7" t="n">
        <v>46271</v>
      </c>
      <c r="D13" s="6" t="n">
        <f aca="false">F12</f>
        <v>212527.563319559</v>
      </c>
      <c r="E13" s="6" t="n">
        <f aca="false">D13*((1+01_Lease_Master!$AF$7)^((C13-IF(B13=1,01_Lease_Master!$D$7,C12))/365)-1)</f>
        <v>12815.800974161</v>
      </c>
      <c r="F13" s="6" t="n">
        <f aca="false">D13+E13</f>
        <v>225343.36429372</v>
      </c>
      <c r="G13" s="1" t="n">
        <f aca="false">01_Lease_Master!$AD$7</f>
        <v>300000</v>
      </c>
      <c r="H13" s="6" t="n">
        <f aca="false">01_Lease_Master!$AF$7</f>
        <v>0.09</v>
      </c>
      <c r="I13" s="1" t="s">
        <v>251</v>
      </c>
    </row>
    <row r="14" customFormat="false" ht="15" hidden="false" customHeight="true" outlineLevel="0" collapsed="false">
      <c r="A14" s="1" t="s">
        <v>80</v>
      </c>
      <c r="B14" s="1" t="n">
        <v>1</v>
      </c>
      <c r="C14" s="7" t="n">
        <v>46271</v>
      </c>
      <c r="D14" s="6" t="n">
        <f aca="false">01_Lease_Master!$AG$8</f>
        <v>340291.598516876</v>
      </c>
      <c r="E14" s="6" t="n">
        <f aca="false">D14*((1+01_Lease_Master!$AF$8)^((C14-IF(B14=1,01_Lease_Master!$D$8,C13))/365)-1)</f>
        <v>11527.6464905965</v>
      </c>
      <c r="F14" s="6" t="n">
        <f aca="false">D14+E14</f>
        <v>351819.245007473</v>
      </c>
      <c r="G14" s="1" t="n">
        <f aca="false">01_Lease_Master!$AD$8</f>
        <v>500000</v>
      </c>
      <c r="H14" s="6" t="n">
        <f aca="false">01_Lease_Master!$AF$8</f>
        <v>0.08</v>
      </c>
      <c r="I14" s="1" t="s">
        <v>251</v>
      </c>
    </row>
    <row r="15" customFormat="false" ht="15" hidden="false" customHeight="true" outlineLevel="0" collapsed="false">
      <c r="A15" s="1" t="s">
        <v>88</v>
      </c>
      <c r="B15" s="1" t="n">
        <v>1</v>
      </c>
      <c r="C15" s="7" t="n">
        <v>45474</v>
      </c>
      <c r="D15" s="6" t="n">
        <f aca="false">01_Lease_Master!$AG$10</f>
        <v>166224.19942874</v>
      </c>
      <c r="E15" s="6" t="n">
        <f aca="false">D15*((1+01_Lease_Master!$AF$10)^((C15-IF(B15=1,01_Lease_Master!$D$10,C14))/365)-1)</f>
        <v>14169.3716382486</v>
      </c>
      <c r="F15" s="6" t="n">
        <f aca="false">D15+E15</f>
        <v>180393.571066988</v>
      </c>
      <c r="G15" s="1" t="n">
        <f aca="false">01_Lease_Master!$AD$10</f>
        <v>250000</v>
      </c>
      <c r="H15" s="6" t="n">
        <f aca="false">01_Lease_Master!$AF$10</f>
        <v>0.085</v>
      </c>
      <c r="I15" s="1" t="s">
        <v>251</v>
      </c>
    </row>
    <row r="16" customFormat="false" ht="15" hidden="false" customHeight="true" outlineLevel="0" collapsed="false">
      <c r="A16" s="1" t="s">
        <v>88</v>
      </c>
      <c r="B16" s="1" t="n">
        <v>2</v>
      </c>
      <c r="C16" s="7" t="n">
        <v>45839</v>
      </c>
      <c r="D16" s="6" t="n">
        <f aca="false">F15</f>
        <v>180393.571066988</v>
      </c>
      <c r="E16" s="6" t="n">
        <f aca="false">D16*((1+01_Lease_Master!$AF$10)^((C16-IF(B16=1,01_Lease_Master!$D$10,C15))/365)-1)</f>
        <v>15333.453540694</v>
      </c>
      <c r="F16" s="6" t="n">
        <f aca="false">D16+E16</f>
        <v>195727.024607682</v>
      </c>
      <c r="G16" s="1" t="n">
        <f aca="false">01_Lease_Master!$AD$10</f>
        <v>250000</v>
      </c>
      <c r="H16" s="6" t="n">
        <f aca="false">01_Lease_Master!$AF$10</f>
        <v>0.085</v>
      </c>
      <c r="I16" s="1" t="s">
        <v>251</v>
      </c>
    </row>
    <row r="17" customFormat="false" ht="15" hidden="false" customHeight="true" outlineLevel="0" collapsed="false">
      <c r="A17" s="1" t="s">
        <v>88</v>
      </c>
      <c r="B17" s="1" t="n">
        <v>3</v>
      </c>
      <c r="C17" s="7" t="n">
        <v>46204</v>
      </c>
      <c r="D17" s="6" t="n">
        <f aca="false">F16</f>
        <v>195727.024607682</v>
      </c>
      <c r="E17" s="6" t="n">
        <f aca="false">D17*((1+01_Lease_Master!$AF$10)^((C17-IF(B17=1,01_Lease_Master!$D$10,C16))/365)-1)</f>
        <v>16636.797091653</v>
      </c>
      <c r="F17" s="6" t="n">
        <f aca="false">D17+E17</f>
        <v>212363.821699335</v>
      </c>
      <c r="G17" s="1" t="n">
        <f aca="false">01_Lease_Master!$AD$10</f>
        <v>250000</v>
      </c>
      <c r="H17" s="6" t="n">
        <f aca="false">01_Lease_Master!$AF$10</f>
        <v>0.085</v>
      </c>
      <c r="I17" s="1" t="s">
        <v>251</v>
      </c>
    </row>
    <row r="18" customFormat="false" ht="15" hidden="false" customHeight="true" outlineLevel="0" collapsed="false">
      <c r="A18" s="1" t="s">
        <v>88</v>
      </c>
      <c r="B18" s="1" t="n">
        <v>4</v>
      </c>
      <c r="C18" s="7" t="n">
        <v>46271</v>
      </c>
      <c r="D18" s="6" t="n">
        <f aca="false">F17</f>
        <v>212363.821699335</v>
      </c>
      <c r="E18" s="6" t="n">
        <f aca="false">D18*((1+01_Lease_Master!$AF$10)^((C18-IF(B18=1,01_Lease_Master!$D$10,C17))/365)-1)</f>
        <v>3204.06952083827</v>
      </c>
      <c r="F18" s="6" t="n">
        <f aca="false">D18+E18</f>
        <v>215567.891220174</v>
      </c>
      <c r="G18" s="1" t="n">
        <f aca="false">01_Lease_Master!$AD$10</f>
        <v>250000</v>
      </c>
      <c r="H18" s="6" t="n">
        <f aca="false">01_Lease_Master!$AF$10</f>
        <v>0.085</v>
      </c>
      <c r="I18" s="1" t="s">
        <v>251</v>
      </c>
    </row>
    <row r="19" customFormat="false" ht="15" hidden="false" customHeight="true" outlineLevel="0" collapsed="false">
      <c r="A19" s="1" t="s">
        <v>91</v>
      </c>
      <c r="B19" s="1" t="n">
        <v>1</v>
      </c>
      <c r="C19" s="7" t="n">
        <v>46271</v>
      </c>
      <c r="D19" s="6" t="n">
        <f aca="false">01_Lease_Master!$AG$11</f>
        <v>112320.079466456</v>
      </c>
      <c r="E19" s="6" t="n">
        <f aca="false">D19*((1+01_Lease_Master!$AF$11)^((C19-IF(B19=1,01_Lease_Master!$D$11,C18))/365)-1)</f>
        <v>1501.02392426879</v>
      </c>
      <c r="F19" s="6" t="n">
        <f aca="false">D19+E19</f>
        <v>113821.103390725</v>
      </c>
      <c r="G19" s="1" t="n">
        <f aca="false">01_Lease_Master!$AD$11</f>
        <v>150000</v>
      </c>
      <c r="H19" s="6" t="n">
        <f aca="false">01_Lease_Master!$AF$11</f>
        <v>0.075</v>
      </c>
      <c r="I19" s="1" t="s">
        <v>251</v>
      </c>
    </row>
    <row r="20" customFormat="false" ht="15" hidden="false" customHeight="true" outlineLevel="0" collapsed="false">
      <c r="A20" s="1" t="s">
        <v>94</v>
      </c>
      <c r="B20" s="1" t="n">
        <v>1</v>
      </c>
      <c r="C20" s="7" t="n">
        <v>45931</v>
      </c>
      <c r="D20" s="6" t="n">
        <f aca="false">01_Lease_Master!$AG$12</f>
        <v>259972.554519338</v>
      </c>
      <c r="E20" s="6" t="n">
        <f aca="false">D20*((1+01_Lease_Master!$AF$12)^((C20-IF(B20=1,01_Lease_Master!$D$12,C19))/365)-1)</f>
        <v>23397.5299067405</v>
      </c>
      <c r="F20" s="6" t="n">
        <f aca="false">D20+E20</f>
        <v>283370.084426079</v>
      </c>
      <c r="G20" s="1" t="n">
        <f aca="false">01_Lease_Master!$AD$12</f>
        <v>400000</v>
      </c>
      <c r="H20" s="6" t="n">
        <f aca="false">01_Lease_Master!$AF$12</f>
        <v>0.09</v>
      </c>
      <c r="I20" s="1" t="s">
        <v>251</v>
      </c>
    </row>
    <row r="21" customFormat="false" ht="15" hidden="false" customHeight="true" outlineLevel="0" collapsed="false">
      <c r="A21" s="1" t="s">
        <v>94</v>
      </c>
      <c r="B21" s="1" t="n">
        <v>2</v>
      </c>
      <c r="C21" s="7" t="n">
        <v>46271</v>
      </c>
      <c r="D21" s="6" t="n">
        <f aca="false">F20</f>
        <v>283370.084426079</v>
      </c>
      <c r="E21" s="6" t="n">
        <f aca="false">D21*((1+01_Lease_Master!$AF$12)^((C21-IF(B21=1,01_Lease_Master!$D$12,C20))/365)-1)</f>
        <v>23685.527171238</v>
      </c>
      <c r="F21" s="6" t="n">
        <f aca="false">D21+E21</f>
        <v>307055.611597317</v>
      </c>
      <c r="G21" s="1" t="n">
        <f aca="false">01_Lease_Master!$AD$12</f>
        <v>400000</v>
      </c>
      <c r="H21" s="6" t="n">
        <f aca="false">01_Lease_Master!$AF$12</f>
        <v>0.09</v>
      </c>
      <c r="I21" s="1" t="s">
        <v>251</v>
      </c>
    </row>
    <row r="22" customFormat="false" ht="15" hidden="false" customHeight="true" outlineLevel="0" collapsed="false">
      <c r="A22" s="1" t="s">
        <v>101</v>
      </c>
      <c r="B22" s="1" t="n">
        <v>1</v>
      </c>
      <c r="C22" s="7" t="n">
        <v>46174</v>
      </c>
      <c r="D22" s="6" t="n">
        <f aca="false">01_Lease_Master!$AG$14</f>
        <v>425055.126639118</v>
      </c>
      <c r="E22" s="6" t="n">
        <f aca="false">D22*((1+01_Lease_Master!$AF$14)^((C22-IF(B22=1,01_Lease_Master!$D$14,C21))/365)-1)</f>
        <v>38254.9613975206</v>
      </c>
      <c r="F22" s="6" t="n">
        <f aca="false">D22+E22</f>
        <v>463310.088036638</v>
      </c>
      <c r="G22" s="1" t="n">
        <f aca="false">01_Lease_Master!$AD$14</f>
        <v>600000</v>
      </c>
      <c r="H22" s="6" t="n">
        <f aca="false">01_Lease_Master!$AF$14</f>
        <v>0.09</v>
      </c>
      <c r="I22" s="1" t="s">
        <v>251</v>
      </c>
    </row>
    <row r="23" customFormat="false" ht="15" hidden="false" customHeight="true" outlineLevel="0" collapsed="false">
      <c r="A23" s="1" t="s">
        <v>101</v>
      </c>
      <c r="B23" s="1" t="n">
        <v>2</v>
      </c>
      <c r="C23" s="7" t="n">
        <v>46271</v>
      </c>
      <c r="D23" s="6" t="n">
        <f aca="false">F22</f>
        <v>463310.088036638</v>
      </c>
      <c r="E23" s="6" t="n">
        <f aca="false">D23*((1+01_Lease_Master!$AF$14)^((C23-IF(B23=1,01_Lease_Master!$D$14,C22))/365)-1)</f>
        <v>10733.1724586211</v>
      </c>
      <c r="F23" s="6" t="n">
        <f aca="false">D23+E23</f>
        <v>474043.26049526</v>
      </c>
      <c r="G23" s="1" t="n">
        <f aca="false">01_Lease_Master!$AD$14</f>
        <v>600000</v>
      </c>
      <c r="H23" s="6" t="n">
        <f aca="false">01_Lease_Master!$AF$14</f>
        <v>0.09</v>
      </c>
      <c r="I23" s="1" t="s">
        <v>251</v>
      </c>
    </row>
    <row r="24" customFormat="false" ht="15" hidden="false" customHeight="true" outlineLevel="0" collapsed="false">
      <c r="A24" s="1" t="s">
        <v>104</v>
      </c>
      <c r="B24" s="1" t="n">
        <v>1</v>
      </c>
      <c r="C24" s="7" t="n">
        <v>45748</v>
      </c>
      <c r="D24" s="6" t="n">
        <f aca="false">01_Lease_Master!$AG$15</f>
        <v>476408.237923627</v>
      </c>
      <c r="E24" s="6" t="n">
        <f aca="false">D24*((1+01_Lease_Master!$AF$15)^((C24-IF(B24=1,01_Lease_Master!$D$15,C23))/365)-1)</f>
        <v>38112.6590338902</v>
      </c>
      <c r="F24" s="6" t="n">
        <f aca="false">D24+E24</f>
        <v>514520.896957517</v>
      </c>
      <c r="G24" s="1" t="n">
        <f aca="false">01_Lease_Master!$AD$15</f>
        <v>700000</v>
      </c>
      <c r="H24" s="6" t="n">
        <f aca="false">01_Lease_Master!$AF$15</f>
        <v>0.08</v>
      </c>
      <c r="I24" s="1" t="s">
        <v>251</v>
      </c>
    </row>
    <row r="25" customFormat="false" ht="15" hidden="false" customHeight="true" outlineLevel="0" collapsed="false">
      <c r="A25" s="1" t="s">
        <v>104</v>
      </c>
      <c r="B25" s="1" t="n">
        <v>2</v>
      </c>
      <c r="C25" s="7" t="n">
        <v>46113</v>
      </c>
      <c r="D25" s="6" t="n">
        <f aca="false">F24</f>
        <v>514520.896957517</v>
      </c>
      <c r="E25" s="6" t="n">
        <f aca="false">D25*((1+01_Lease_Master!$AF$15)^((C25-IF(B25=1,01_Lease_Master!$D$15,C24))/365)-1)</f>
        <v>41161.6717566014</v>
      </c>
      <c r="F25" s="6" t="n">
        <f aca="false">D25+E25</f>
        <v>555682.568714119</v>
      </c>
      <c r="G25" s="1" t="n">
        <f aca="false">01_Lease_Master!$AD$15</f>
        <v>700000</v>
      </c>
      <c r="H25" s="6" t="n">
        <f aca="false">01_Lease_Master!$AF$15</f>
        <v>0.08</v>
      </c>
      <c r="I25" s="1" t="s">
        <v>251</v>
      </c>
    </row>
    <row r="26" customFormat="false" ht="15" hidden="false" customHeight="true" outlineLevel="0" collapsed="false">
      <c r="A26" s="1" t="s">
        <v>104</v>
      </c>
      <c r="B26" s="1" t="n">
        <v>3</v>
      </c>
      <c r="C26" s="7" t="n">
        <v>46271</v>
      </c>
      <c r="D26" s="6" t="n">
        <f aca="false">F25</f>
        <v>555682.568714119</v>
      </c>
      <c r="E26" s="6" t="n">
        <f aca="false">D26*((1+01_Lease_Master!$AF$15)^((C26-IF(B26=1,01_Lease_Master!$D$15,C25))/365)-1)</f>
        <v>18824.1856132844</v>
      </c>
      <c r="F26" s="6" t="n">
        <f aca="false">D26+E26</f>
        <v>574506.754327403</v>
      </c>
      <c r="G26" s="1" t="n">
        <f aca="false">01_Lease_Master!$AD$15</f>
        <v>700000</v>
      </c>
      <c r="H26" s="6" t="n">
        <f aca="false">01_Lease_Master!$AF$15</f>
        <v>0.08</v>
      </c>
      <c r="I26" s="1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19"/>
    <col collapsed="false" customWidth="true" hidden="false" outlineLevel="0" max="4" min="4" style="1" width="30"/>
    <col collapsed="false" customWidth="true" hidden="false" outlineLevel="0" max="5" min="5" style="1" width="19"/>
    <col collapsed="false" customWidth="true" hidden="false" outlineLevel="0" max="6" min="6" style="1" width="16"/>
    <col collapsed="false" customWidth="true" hidden="false" outlineLevel="0" max="8" min="7" style="1" width="17"/>
  </cols>
  <sheetData>
    <row r="1" customFormat="false" ht="17.25" hidden="false" customHeight="true" outlineLevel="0" collapsed="false">
      <c r="A1" s="2" t="s">
        <v>252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108</v>
      </c>
      <c r="C5" s="4" t="s">
        <v>253</v>
      </c>
      <c r="D5" s="4" t="s">
        <v>254</v>
      </c>
      <c r="E5" s="4" t="s">
        <v>255</v>
      </c>
      <c r="F5" s="4" t="s">
        <v>256</v>
      </c>
      <c r="G5" s="4" t="s">
        <v>257</v>
      </c>
      <c r="H5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19"/>
    <col collapsed="false" customWidth="true" hidden="false" outlineLevel="0" max="4" min="4" style="1" width="21"/>
    <col collapsed="false" customWidth="true" hidden="false" outlineLevel="0" max="5" min="5" style="1" width="23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258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259</v>
      </c>
      <c r="C5" s="4" t="s">
        <v>217</v>
      </c>
      <c r="D5" s="4" t="s">
        <v>14</v>
      </c>
      <c r="E5" s="4" t="s">
        <v>218</v>
      </c>
      <c r="F5" s="4" t="s">
        <v>30</v>
      </c>
    </row>
    <row r="6" customFormat="false" ht="15" hidden="false" customHeight="true" outlineLevel="0" collapsed="false">
      <c r="A6" s="1" t="s">
        <v>65</v>
      </c>
      <c r="B6" s="1" t="n">
        <v>5574738.89</v>
      </c>
      <c r="C6" s="1" t="n">
        <v>0</v>
      </c>
      <c r="D6" s="1" t="n">
        <v>0</v>
      </c>
      <c r="E6" s="1" t="n">
        <v>0</v>
      </c>
      <c r="F6" s="1" t="s">
        <v>260</v>
      </c>
    </row>
    <row r="7" customFormat="false" ht="15" hidden="false" customHeight="true" outlineLevel="0" collapsed="false">
      <c r="A7" s="1" t="s">
        <v>74</v>
      </c>
      <c r="B7" s="1" t="n">
        <v>8841059.6</v>
      </c>
      <c r="C7" s="1" t="n">
        <v>1661389.61</v>
      </c>
      <c r="D7" s="1" t="n">
        <v>6037731.12</v>
      </c>
      <c r="E7" s="1" t="n">
        <v>4376341.51</v>
      </c>
      <c r="F7" s="1" t="s">
        <v>260</v>
      </c>
    </row>
    <row r="8" customFormat="false" ht="15" hidden="false" customHeight="true" outlineLevel="0" collapsed="false">
      <c r="A8" s="1" t="s">
        <v>80</v>
      </c>
      <c r="B8" s="1" t="n">
        <v>784264.97</v>
      </c>
      <c r="C8" s="1" t="n">
        <v>143558.22</v>
      </c>
      <c r="D8" s="1" t="n">
        <v>814073.99</v>
      </c>
      <c r="E8" s="1" t="n">
        <v>670515.77</v>
      </c>
      <c r="F8" s="1" t="s">
        <v>260</v>
      </c>
    </row>
    <row r="9" customFormat="false" ht="15" hidden="false" customHeight="true" outlineLevel="0" collapsed="false">
      <c r="A9" s="1" t="s">
        <v>84</v>
      </c>
      <c r="B9" s="1" t="n">
        <v>1652805.5</v>
      </c>
      <c r="C9" s="1" t="n">
        <v>607812.87</v>
      </c>
      <c r="D9" s="1" t="n">
        <v>823063.28</v>
      </c>
      <c r="E9" s="1" t="n">
        <v>215250.41</v>
      </c>
      <c r="F9" s="1" t="s">
        <v>260</v>
      </c>
    </row>
    <row r="10" customFormat="false" ht="15" hidden="false" customHeight="true" outlineLevel="0" collapsed="false">
      <c r="A10" s="1" t="s">
        <v>88</v>
      </c>
      <c r="B10" s="1" t="n">
        <v>4902114.66</v>
      </c>
      <c r="C10" s="1" t="n">
        <v>1210367.5</v>
      </c>
      <c r="D10" s="1" t="n">
        <v>2194175.67</v>
      </c>
      <c r="E10" s="1" t="n">
        <v>983808.17</v>
      </c>
      <c r="F10" s="1" t="s">
        <v>260</v>
      </c>
    </row>
    <row r="11" customFormat="false" ht="15" hidden="false" customHeight="true" outlineLevel="0" collapsed="false">
      <c r="A11" s="1" t="s">
        <v>91</v>
      </c>
      <c r="B11" s="1" t="n">
        <v>3406262.78</v>
      </c>
      <c r="C11" s="1" t="n">
        <v>728399.28</v>
      </c>
      <c r="D11" s="1" t="n">
        <v>3296883.58</v>
      </c>
      <c r="E11" s="1" t="n">
        <v>2568484.3</v>
      </c>
      <c r="F11" s="1" t="s">
        <v>260</v>
      </c>
    </row>
    <row r="12" customFormat="false" ht="15" hidden="false" customHeight="true" outlineLevel="0" collapsed="false">
      <c r="A12" s="1" t="s">
        <v>94</v>
      </c>
      <c r="B12" s="1" t="n">
        <v>1927065.39</v>
      </c>
      <c r="C12" s="1" t="n">
        <v>427742.38</v>
      </c>
      <c r="D12" s="1" t="n">
        <v>1367279.13</v>
      </c>
      <c r="E12" s="1" t="n">
        <v>939536.75</v>
      </c>
      <c r="F12" s="1" t="s">
        <v>260</v>
      </c>
    </row>
    <row r="13" customFormat="false" ht="15" hidden="false" customHeight="true" outlineLevel="0" collapsed="false">
      <c r="A13" s="1" t="s">
        <v>97</v>
      </c>
      <c r="B13" s="1" t="n">
        <v>58951.27</v>
      </c>
      <c r="C13" s="1" t="n">
        <v>17535.4</v>
      </c>
      <c r="D13" s="1" t="n">
        <v>17535.4</v>
      </c>
      <c r="E13" s="1" t="n">
        <v>0</v>
      </c>
      <c r="F13" s="1" t="s">
        <v>260</v>
      </c>
    </row>
    <row r="14" customFormat="false" ht="15" hidden="false" customHeight="true" outlineLevel="0" collapsed="false">
      <c r="A14" s="1" t="s">
        <v>101</v>
      </c>
      <c r="B14" s="1" t="n">
        <v>4476019.37</v>
      </c>
      <c r="C14" s="1" t="n">
        <v>1131476.25</v>
      </c>
      <c r="D14" s="1" t="n">
        <v>3424773.51</v>
      </c>
      <c r="E14" s="1" t="n">
        <v>2293297.26</v>
      </c>
      <c r="F14" s="1" t="s">
        <v>260</v>
      </c>
    </row>
    <row r="15" customFormat="false" ht="15" hidden="false" customHeight="true" outlineLevel="0" collapsed="false">
      <c r="A15" s="1" t="s">
        <v>104</v>
      </c>
      <c r="B15" s="1" t="n">
        <v>8629894.81</v>
      </c>
      <c r="C15" s="1" t="n">
        <v>1855154.95</v>
      </c>
      <c r="D15" s="1" t="n">
        <v>4949596.81</v>
      </c>
      <c r="E15" s="1" t="n">
        <v>3094441.86</v>
      </c>
      <c r="F15" s="1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45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23"/>
    <col collapsed="false" customWidth="true" hidden="false" outlineLevel="0" max="7" min="7" style="1" width="25"/>
  </cols>
  <sheetData>
    <row r="1" customFormat="false" ht="17.25" hidden="false" customHeight="true" outlineLevel="0" collapsed="false">
      <c r="A1" s="2" t="s">
        <v>261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262</v>
      </c>
      <c r="C5" s="4" t="s">
        <v>263</v>
      </c>
      <c r="D5" s="4" t="s">
        <v>264</v>
      </c>
      <c r="E5" s="4" t="s">
        <v>265</v>
      </c>
      <c r="F5" s="4" t="s">
        <v>266</v>
      </c>
      <c r="G5" s="4" t="s">
        <v>30</v>
      </c>
    </row>
    <row r="6" customFormat="false" ht="15" hidden="false" customHeight="true" outlineLevel="0" collapsed="false">
      <c r="A6" s="1" t="s">
        <v>65</v>
      </c>
      <c r="B6" s="6" t="n">
        <f aca="false">SUMIF(22_Independent_Validation!A:A,A6,22_Independent_Validation!D:D)</f>
        <v>0</v>
      </c>
      <c r="C6" s="6" t="n">
        <f aca="false">SUMIFS(04_Lease_Liability!H:H,04_Lease_Liability!A:A,A6,04_Lease_Liability!B:B,"REPORTING")</f>
        <v>0</v>
      </c>
      <c r="E6" s="6" t="n">
        <f aca="false">B6-C6</f>
        <v>0</v>
      </c>
      <c r="G6" s="1" t="str">
        <f aca="false">IF(OR(D6="",ISBLANK(D6)),IFERROR(IF(ABS(E6)&lt;=01_Lease_Master!$AI$6,"PASS","CHECK"),"CHECK"),IFERROR(IF(AND(ABS(E6)&lt;=01_Lease_Master!$AI$6,ABS(F6)&lt;=01_Lease_Master!$AI$6),"PASS","CHECK"),"CHECK"))</f>
        <v>PASS</v>
      </c>
    </row>
    <row r="7" customFormat="false" ht="15" hidden="false" customHeight="true" outlineLevel="0" collapsed="false">
      <c r="A7" s="1" t="s">
        <v>74</v>
      </c>
      <c r="B7" s="6" t="n">
        <f aca="false">SUMIF(22_Independent_Validation!A:A,A7,22_Independent_Validation!D:D)</f>
        <v>6037731.12</v>
      </c>
      <c r="C7" s="6" t="n">
        <f aca="false">SUMIFS(04_Lease_Liability!H:H,04_Lease_Liability!A:A,A7,04_Lease_Liability!B:B,"REPORTING")</f>
        <v>6037731.11803082</v>
      </c>
      <c r="E7" s="6" t="n">
        <f aca="false">B7-C7</f>
        <v>0.00196918286383152</v>
      </c>
      <c r="G7" s="1" t="str">
        <f aca="false">IF(OR(D7="",ISBLANK(D7)),IFERROR(IF(ABS(E7)&lt;=01_Lease_Master!$AI$7,"PASS","CHECK"),"CHECK"),IFERROR(IF(AND(ABS(E7)&lt;=01_Lease_Master!$AI$7,ABS(F7)&lt;=01_Lease_Master!$AI$7),"PASS","CHECK"),"CHECK"))</f>
        <v>PASS</v>
      </c>
    </row>
    <row r="8" customFormat="false" ht="15" hidden="false" customHeight="true" outlineLevel="0" collapsed="false">
      <c r="A8" s="1" t="s">
        <v>80</v>
      </c>
      <c r="B8" s="6" t="n">
        <f aca="false">SUMIF(22_Independent_Validation!A:A,A8,22_Independent_Validation!D:D)</f>
        <v>814073.99</v>
      </c>
      <c r="C8" s="6" t="n">
        <f aca="false">SUMIFS(04_Lease_Liability!H:H,04_Lease_Liability!A:A,A8,04_Lease_Liability!B:B,"REPORTING")</f>
        <v>814073.990971703</v>
      </c>
      <c r="E8" s="6" t="n">
        <f aca="false">B8-C8</f>
        <v>-0.000971702858805656</v>
      </c>
      <c r="G8" s="1" t="str">
        <f aca="false">IF(OR(D8="",ISBLANK(D8)),IFERROR(IF(ABS(E8)&lt;=01_Lease_Master!$AI$8,"PASS","CHECK"),"CHECK"),IFERROR(IF(AND(ABS(E8)&lt;=01_Lease_Master!$AI$8,ABS(F8)&lt;=01_Lease_Master!$AI$8),"PASS","CHECK"),"CHECK"))</f>
        <v>PASS</v>
      </c>
    </row>
    <row r="9" customFormat="false" ht="15" hidden="false" customHeight="true" outlineLevel="0" collapsed="false">
      <c r="A9" s="1" t="s">
        <v>84</v>
      </c>
      <c r="B9" s="6" t="n">
        <f aca="false">SUMIF(22_Independent_Validation!A:A,A9,22_Independent_Validation!D:D)</f>
        <v>823063.28</v>
      </c>
      <c r="C9" s="6" t="n">
        <f aca="false">SUMIFS(04_Lease_Liability!H:H,04_Lease_Liability!A:A,A9,04_Lease_Liability!B:B,"REPORTING")</f>
        <v>823063.280964409</v>
      </c>
      <c r="E9" s="6" t="n">
        <f aca="false">B9-C9</f>
        <v>-0.000964409322477877</v>
      </c>
      <c r="G9" s="1" t="str">
        <f aca="false">IF(OR(D9="",ISBLANK(D9)),IFERROR(IF(ABS(E9)&lt;=01_Lease_Master!$AI$9,"PASS","CHECK"),"CHECK"),IFERROR(IF(AND(ABS(E9)&lt;=01_Lease_Master!$AI$9,ABS(F9)&lt;=01_Lease_Master!$AI$9),"PASS","CHECK"),"CHECK"))</f>
        <v>PASS</v>
      </c>
    </row>
    <row r="10" customFormat="false" ht="15" hidden="false" customHeight="true" outlineLevel="0" collapsed="false">
      <c r="A10" s="1" t="s">
        <v>88</v>
      </c>
      <c r="B10" s="6" t="n">
        <f aca="false">SUMIF(22_Independent_Validation!A:A,A10,22_Independent_Validation!D:D)</f>
        <v>2194175.67</v>
      </c>
      <c r="C10" s="6" t="n">
        <f aca="false">SUMIFS(04_Lease_Liability!H:H,04_Lease_Liability!A:A,A10,04_Lease_Liability!B:B,"REPORTING")</f>
        <v>2194175.66771186</v>
      </c>
      <c r="E10" s="6" t="n">
        <f aca="false">B10-C10</f>
        <v>0.00228813709691167</v>
      </c>
      <c r="G10" s="1" t="str">
        <f aca="false">IF(OR(D10="",ISBLANK(D10)),IFERROR(IF(ABS(E10)&lt;=01_Lease_Master!$AI$10,"PASS","CHECK"),"CHECK"),IFERROR(IF(AND(ABS(E10)&lt;=01_Lease_Master!$AI$10,ABS(F10)&lt;=01_Lease_Master!$AI$10),"PASS","CHECK"),"CHECK"))</f>
        <v>PASS</v>
      </c>
    </row>
    <row r="11" customFormat="false" ht="15" hidden="false" customHeight="true" outlineLevel="0" collapsed="false">
      <c r="A11" s="1" t="s">
        <v>91</v>
      </c>
      <c r="B11" s="6" t="n">
        <f aca="false">SUMIF(22_Independent_Validation!A:A,A11,22_Independent_Validation!D:D)</f>
        <v>3296883.58</v>
      </c>
      <c r="C11" s="6" t="n">
        <f aca="false">SUMIFS(04_Lease_Liability!H:H,04_Lease_Liability!A:A,A11,04_Lease_Liability!B:B,"REPORTING")</f>
        <v>3296883.57705188</v>
      </c>
      <c r="E11" s="6" t="n">
        <f aca="false">B11-C11</f>
        <v>0.00294812209904194</v>
      </c>
      <c r="G11" s="1" t="str">
        <f aca="false">IF(OR(D11="",ISBLANK(D11)),IFERROR(IF(ABS(E11)&lt;=01_Lease_Master!$AI$11,"PASS","CHECK"),"CHECK"),IFERROR(IF(AND(ABS(E11)&lt;=01_Lease_Master!$AI$11,ABS(F11)&lt;=01_Lease_Master!$AI$11),"PASS","CHECK"),"CHECK"))</f>
        <v>PASS</v>
      </c>
    </row>
    <row r="12" customFormat="false" ht="15" hidden="false" customHeight="true" outlineLevel="0" collapsed="false">
      <c r="A12" s="1" t="s">
        <v>94</v>
      </c>
      <c r="B12" s="6" t="n">
        <f aca="false">SUMIF(22_Independent_Validation!A:A,A12,22_Independent_Validation!D:D)</f>
        <v>1367279.13</v>
      </c>
      <c r="C12" s="6" t="n">
        <f aca="false">SUMIFS(04_Lease_Liability!H:H,04_Lease_Liability!A:A,A12,04_Lease_Liability!B:B,"REPORTING")</f>
        <v>1367279.13077384</v>
      </c>
      <c r="E12" s="6" t="n">
        <f aca="false">B12-C12</f>
        <v>-0.000773841282352805</v>
      </c>
      <c r="G12" s="1" t="str">
        <f aca="false">IF(OR(D12="",ISBLANK(D12)),IFERROR(IF(ABS(E12)&lt;=01_Lease_Master!$AI$12,"PASS","CHECK"),"CHECK"),IFERROR(IF(AND(ABS(E12)&lt;=01_Lease_Master!$AI$12,ABS(F12)&lt;=01_Lease_Master!$AI$12),"PASS","CHECK"),"CHECK"))</f>
        <v>PASS</v>
      </c>
    </row>
    <row r="13" customFormat="false" ht="15" hidden="false" customHeight="true" outlineLevel="0" collapsed="false">
      <c r="A13" s="1" t="s">
        <v>97</v>
      </c>
      <c r="B13" s="6" t="n">
        <f aca="false">SUMIF(22_Independent_Validation!A:A,A13,22_Independent_Validation!D:D)</f>
        <v>17535.4</v>
      </c>
      <c r="C13" s="6" t="n">
        <f aca="false">SUMIFS(04_Lease_Liability!H:H,04_Lease_Liability!A:A,A13,04_Lease_Liability!B:B,"REPORTING")</f>
        <v>17535.3958939827</v>
      </c>
      <c r="E13" s="6" t="n">
        <f aca="false">B13-C13</f>
        <v>0.00410601734620286</v>
      </c>
      <c r="G13" s="1" t="str">
        <f aca="false">IF(OR(D13="",ISBLANK(D13)),IFERROR(IF(ABS(E13)&lt;=01_Lease_Master!$AI$13,"PASS","CHECK"),"CHECK"),IFERROR(IF(AND(ABS(E13)&lt;=01_Lease_Master!$AI$13,ABS(F13)&lt;=01_Lease_Master!$AI$13),"PASS","CHECK"),"CHECK"))</f>
        <v>PASS</v>
      </c>
    </row>
    <row r="14" customFormat="false" ht="15" hidden="false" customHeight="true" outlineLevel="0" collapsed="false">
      <c r="A14" s="1" t="s">
        <v>101</v>
      </c>
      <c r="B14" s="6" t="n">
        <f aca="false">SUMIF(22_Independent_Validation!A:A,A14,22_Independent_Validation!D:D)</f>
        <v>3424773.51</v>
      </c>
      <c r="C14" s="6" t="n">
        <f aca="false">SUMIFS(04_Lease_Liability!H:H,04_Lease_Liability!A:A,A14,04_Lease_Liability!B:B,"REPORTING")</f>
        <v>3424773.50751022</v>
      </c>
      <c r="E14" s="6" t="n">
        <f aca="false">B14-C14</f>
        <v>0.00248977821320295</v>
      </c>
      <c r="G14" s="1" t="str">
        <f aca="false">IF(OR(D14="",ISBLANK(D14)),IFERROR(IF(ABS(E14)&lt;=01_Lease_Master!$AI$14,"PASS","CHECK"),"CHECK"),IFERROR(IF(AND(ABS(E14)&lt;=01_Lease_Master!$AI$14,ABS(F14)&lt;=01_Lease_Master!$AI$14),"PASS","CHECK"),"CHECK"))</f>
        <v>PASS</v>
      </c>
    </row>
    <row r="15" customFormat="false" ht="15" hidden="false" customHeight="true" outlineLevel="0" collapsed="false">
      <c r="A15" s="1" t="s">
        <v>104</v>
      </c>
      <c r="B15" s="6" t="n">
        <f aca="false">SUMIF(22_Independent_Validation!A:A,A15,22_Independent_Validation!D:D)</f>
        <v>4949596.81</v>
      </c>
      <c r="C15" s="6" t="n">
        <f aca="false">SUMIFS(04_Lease_Liability!H:H,04_Lease_Liability!A:A,A15,04_Lease_Liability!B:B,"REPORTING")</f>
        <v>4949596.79115502</v>
      </c>
      <c r="E15" s="6" t="n">
        <f aca="false">B15-C15</f>
        <v>0.0188449760898948</v>
      </c>
      <c r="G15" s="1" t="str">
        <f aca="false">IF(OR(D15="",ISBLANK(D15)),IFERROR(IF(ABS(E15)&lt;=01_Lease_Master!$AI$15,"PASS","CHECK"),"CHECK"),IFERROR(IF(AND(ABS(E15)&lt;=01_Lease_Master!$AI$15,ABS(F15)&lt;=01_Lease_Master!$AI$15),"PASS","CHECK"),"CHECK"))</f>
        <v>PASS</v>
      </c>
    </row>
    <row r="16" customFormat="false" ht="15" hidden="false" customHeight="false" outlineLevel="0" collapsed="false"/>
    <row r="17" customFormat="false" ht="15" hidden="false" customHeight="true" outlineLevel="0" collapsed="false">
      <c r="A17" s="1" t="s">
        <v>267</v>
      </c>
      <c r="G17" s="1" t="str">
        <f aca="false">IF(OR(D17="",ISBLANK(D17)),IFERROR(IF(ABS(E17)&lt;=01_Lease_Master!$AI$17,"PASS","CHECK"),"CHECK"),IFERROR(IF(AND(ABS(E17)&lt;=01_Lease_Master!$AI$17,ABS(F17)&lt;=01_Lease_Master!$AI$17),"PASS","CHECK"),"CHECK"))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9" min="6" style="1" width="12"/>
  </cols>
  <sheetData>
    <row r="1" customFormat="false" ht="17.25" hidden="false" customHeight="true" outlineLevel="0" collapsed="false">
      <c r="A1" s="2" t="s">
        <v>268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269</v>
      </c>
      <c r="B5" s="4" t="s">
        <v>29</v>
      </c>
      <c r="C5" s="4" t="s">
        <v>270</v>
      </c>
      <c r="D5" s="4" t="s">
        <v>271</v>
      </c>
      <c r="E5" s="4" t="s">
        <v>111</v>
      </c>
      <c r="F5" s="4" t="s">
        <v>272</v>
      </c>
      <c r="G5" s="4" t="s">
        <v>273</v>
      </c>
      <c r="H5" s="4" t="s">
        <v>161</v>
      </c>
      <c r="I5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9" min="7" style="1" width="12"/>
    <col collapsed="false" customWidth="true" hidden="false" outlineLevel="0" max="10" min="10" style="1" width="45"/>
    <col collapsed="false" customWidth="true" hidden="false" outlineLevel="0" max="12" min="11" style="1" width="17"/>
    <col collapsed="false" customWidth="true" hidden="false" outlineLevel="0" max="13" min="13" style="1" width="24"/>
  </cols>
  <sheetData>
    <row r="1" customFormat="false" ht="17.25" hidden="false" customHeight="true" outlineLevel="0" collapsed="false">
      <c r="A1" s="2" t="s">
        <v>274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275</v>
      </c>
      <c r="B5" s="4" t="s">
        <v>276</v>
      </c>
      <c r="C5" s="4" t="s">
        <v>277</v>
      </c>
      <c r="D5" s="4" t="s">
        <v>29</v>
      </c>
      <c r="E5" s="4" t="s">
        <v>278</v>
      </c>
      <c r="F5" s="4" t="s">
        <v>279</v>
      </c>
      <c r="G5" s="4" t="s">
        <v>280</v>
      </c>
      <c r="H5" s="4" t="s">
        <v>281</v>
      </c>
      <c r="I5" s="4" t="s">
        <v>282</v>
      </c>
      <c r="J5" s="4" t="s">
        <v>283</v>
      </c>
      <c r="K5" s="4" t="s">
        <v>284</v>
      </c>
      <c r="L5" s="4" t="s">
        <v>285</v>
      </c>
      <c r="M5" s="4" t="s">
        <v>269</v>
      </c>
    </row>
    <row r="6" customFormat="false" ht="15" hidden="false" customHeight="true" outlineLevel="0" collapsed="false">
      <c r="A6" s="10" t="s">
        <v>286</v>
      </c>
      <c r="B6" s="1" t="s">
        <v>287</v>
      </c>
      <c r="C6" s="1" t="s">
        <v>288</v>
      </c>
      <c r="E6" s="1" t="s">
        <v>289</v>
      </c>
      <c r="F6" s="1" t="s">
        <v>290</v>
      </c>
      <c r="K6" s="1" t="s">
        <v>291</v>
      </c>
      <c r="M6" s="1" t="s">
        <v>290</v>
      </c>
    </row>
    <row r="7" customFormat="false" ht="15" hidden="false" customHeight="true" outlineLevel="0" collapsed="false">
      <c r="A7" s="10" t="s">
        <v>292</v>
      </c>
      <c r="B7" s="1" t="s">
        <v>287</v>
      </c>
      <c r="C7" s="1" t="s">
        <v>293</v>
      </c>
      <c r="E7" s="1" t="s">
        <v>294</v>
      </c>
      <c r="F7" s="1" t="s">
        <v>295</v>
      </c>
      <c r="J7" s="1" t="s">
        <v>296</v>
      </c>
      <c r="K7" s="1" t="s">
        <v>297</v>
      </c>
    </row>
    <row r="8" customFormat="false" ht="15" hidden="false" customHeight="true" outlineLevel="0" collapsed="false">
      <c r="A8" s="10" t="s">
        <v>292</v>
      </c>
      <c r="B8" s="1" t="s">
        <v>287</v>
      </c>
      <c r="C8" s="1" t="s">
        <v>293</v>
      </c>
      <c r="D8" s="1" t="s">
        <v>104</v>
      </c>
      <c r="E8" s="1" t="s">
        <v>298</v>
      </c>
      <c r="F8" s="1" t="s">
        <v>104</v>
      </c>
      <c r="J8" s="1" t="s">
        <v>299</v>
      </c>
      <c r="K8" s="1" t="s">
        <v>300</v>
      </c>
    </row>
    <row r="9" customFormat="false" ht="15" hidden="false" customHeight="true" outlineLevel="0" collapsed="false">
      <c r="A9" s="10" t="s">
        <v>301</v>
      </c>
      <c r="B9" s="1" t="s">
        <v>287</v>
      </c>
      <c r="C9" s="1" t="s">
        <v>293</v>
      </c>
      <c r="D9" s="1" t="s">
        <v>101</v>
      </c>
      <c r="E9" s="1" t="s">
        <v>298</v>
      </c>
      <c r="F9" s="1" t="s">
        <v>101</v>
      </c>
      <c r="J9" s="1" t="s">
        <v>299</v>
      </c>
      <c r="K9" s="1" t="s">
        <v>300</v>
      </c>
    </row>
    <row r="10" customFormat="false" ht="15" hidden="false" customHeight="true" outlineLevel="0" collapsed="false">
      <c r="A10" s="10" t="s">
        <v>301</v>
      </c>
      <c r="B10" s="1" t="s">
        <v>287</v>
      </c>
      <c r="C10" s="1" t="s">
        <v>293</v>
      </c>
      <c r="D10" s="1" t="s">
        <v>97</v>
      </c>
      <c r="E10" s="1" t="s">
        <v>298</v>
      </c>
      <c r="F10" s="1" t="s">
        <v>97</v>
      </c>
      <c r="J10" s="1" t="s">
        <v>299</v>
      </c>
      <c r="K10" s="1" t="s">
        <v>300</v>
      </c>
    </row>
    <row r="11" customFormat="false" ht="15" hidden="false" customHeight="true" outlineLevel="0" collapsed="false">
      <c r="A11" s="10" t="s">
        <v>301</v>
      </c>
      <c r="B11" s="1" t="s">
        <v>287</v>
      </c>
      <c r="C11" s="1" t="s">
        <v>293</v>
      </c>
      <c r="D11" s="1" t="s">
        <v>94</v>
      </c>
      <c r="E11" s="1" t="s">
        <v>298</v>
      </c>
      <c r="F11" s="1" t="s">
        <v>94</v>
      </c>
      <c r="J11" s="1" t="s">
        <v>299</v>
      </c>
      <c r="K11" s="1" t="s">
        <v>300</v>
      </c>
    </row>
    <row r="12" customFormat="false" ht="15" hidden="false" customHeight="true" outlineLevel="0" collapsed="false">
      <c r="A12" s="10" t="s">
        <v>301</v>
      </c>
      <c r="B12" s="1" t="s">
        <v>287</v>
      </c>
      <c r="C12" s="1" t="s">
        <v>293</v>
      </c>
      <c r="D12" s="1" t="s">
        <v>91</v>
      </c>
      <c r="E12" s="1" t="s">
        <v>298</v>
      </c>
      <c r="F12" s="1" t="s">
        <v>91</v>
      </c>
      <c r="J12" s="1" t="s">
        <v>299</v>
      </c>
      <c r="K12" s="1" t="s">
        <v>300</v>
      </c>
    </row>
    <row r="13" customFormat="false" ht="15" hidden="false" customHeight="true" outlineLevel="0" collapsed="false">
      <c r="A13" s="10" t="s">
        <v>301</v>
      </c>
      <c r="B13" s="1" t="s">
        <v>287</v>
      </c>
      <c r="C13" s="1" t="s">
        <v>293</v>
      </c>
      <c r="D13" s="1" t="s">
        <v>88</v>
      </c>
      <c r="E13" s="1" t="s">
        <v>298</v>
      </c>
      <c r="F13" s="1" t="s">
        <v>88</v>
      </c>
      <c r="J13" s="1" t="s">
        <v>299</v>
      </c>
      <c r="K13" s="1" t="s">
        <v>300</v>
      </c>
    </row>
    <row r="14" customFormat="false" ht="15" hidden="false" customHeight="true" outlineLevel="0" collapsed="false">
      <c r="A14" s="10" t="s">
        <v>301</v>
      </c>
      <c r="B14" s="1" t="s">
        <v>287</v>
      </c>
      <c r="C14" s="1" t="s">
        <v>293</v>
      </c>
      <c r="D14" s="1" t="s">
        <v>84</v>
      </c>
      <c r="E14" s="1" t="s">
        <v>298</v>
      </c>
      <c r="F14" s="1" t="s">
        <v>84</v>
      </c>
      <c r="J14" s="1" t="s">
        <v>299</v>
      </c>
      <c r="K14" s="1" t="s">
        <v>300</v>
      </c>
    </row>
    <row r="15" customFormat="false" ht="15" hidden="false" customHeight="true" outlineLevel="0" collapsed="false">
      <c r="A15" s="10" t="s">
        <v>301</v>
      </c>
      <c r="B15" s="1" t="s">
        <v>287</v>
      </c>
      <c r="C15" s="1" t="s">
        <v>293</v>
      </c>
      <c r="D15" s="1" t="s">
        <v>80</v>
      </c>
      <c r="E15" s="1" t="s">
        <v>298</v>
      </c>
      <c r="F15" s="1" t="s">
        <v>80</v>
      </c>
      <c r="J15" s="1" t="s">
        <v>299</v>
      </c>
      <c r="K15" s="1" t="s">
        <v>300</v>
      </c>
    </row>
    <row r="16" customFormat="false" ht="15" hidden="false" customHeight="true" outlineLevel="0" collapsed="false">
      <c r="A16" s="10" t="s">
        <v>301</v>
      </c>
      <c r="B16" s="1" t="s">
        <v>287</v>
      </c>
      <c r="C16" s="1" t="s">
        <v>293</v>
      </c>
      <c r="D16" s="1" t="s">
        <v>74</v>
      </c>
      <c r="E16" s="1" t="s">
        <v>298</v>
      </c>
      <c r="F16" s="1" t="s">
        <v>74</v>
      </c>
      <c r="J16" s="1" t="s">
        <v>299</v>
      </c>
      <c r="K16" s="1" t="s">
        <v>300</v>
      </c>
    </row>
    <row r="17" customFormat="false" ht="15" hidden="false" customHeight="true" outlineLevel="0" collapsed="false">
      <c r="A17" s="10" t="s">
        <v>301</v>
      </c>
      <c r="B17" s="1" t="s">
        <v>287</v>
      </c>
      <c r="C17" s="1" t="s">
        <v>293</v>
      </c>
      <c r="D17" s="1" t="s">
        <v>65</v>
      </c>
      <c r="E17" s="1" t="s">
        <v>298</v>
      </c>
      <c r="F17" s="1" t="s">
        <v>65</v>
      </c>
      <c r="J17" s="1" t="s">
        <v>299</v>
      </c>
      <c r="K17" s="1" t="s">
        <v>300</v>
      </c>
    </row>
    <row r="18" customFormat="false" ht="15" hidden="false" customHeight="true" outlineLevel="0" collapsed="false">
      <c r="A18" s="10" t="s">
        <v>302</v>
      </c>
      <c r="B18" s="1" t="s">
        <v>287</v>
      </c>
      <c r="C18" s="1" t="s">
        <v>293</v>
      </c>
      <c r="E18" s="1" t="s">
        <v>303</v>
      </c>
      <c r="F18" s="1" t="s">
        <v>287</v>
      </c>
      <c r="K18" s="1" t="s">
        <v>304</v>
      </c>
    </row>
    <row r="19" customFormat="false" ht="15" hidden="false" customHeight="true" outlineLevel="0" collapsed="false">
      <c r="A19" s="10" t="s">
        <v>305</v>
      </c>
      <c r="B19" s="1" t="s">
        <v>287</v>
      </c>
      <c r="C19" s="1" t="s">
        <v>293</v>
      </c>
      <c r="E19" s="1" t="s">
        <v>306</v>
      </c>
      <c r="F19" s="1" t="s">
        <v>307</v>
      </c>
      <c r="J19" s="1" t="s">
        <v>308</v>
      </c>
      <c r="K19" s="1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5"/>
    <col collapsed="false" customWidth="true" hidden="false" outlineLevel="0" max="3" min="3" style="1" width="42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" t="s">
        <v>309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310</v>
      </c>
      <c r="B5" s="4" t="s">
        <v>311</v>
      </c>
      <c r="C5" s="4" t="s">
        <v>312</v>
      </c>
      <c r="D5" s="4" t="s">
        <v>313</v>
      </c>
    </row>
    <row r="6" customFormat="false" ht="15" hidden="false" customHeight="true" outlineLevel="0" collapsed="false">
      <c r="A6" s="1" t="s">
        <v>314</v>
      </c>
      <c r="B6" s="1" t="s">
        <v>315</v>
      </c>
      <c r="C6" s="1" t="s">
        <v>316</v>
      </c>
      <c r="D6" s="1" t="s">
        <v>317</v>
      </c>
    </row>
    <row r="7" customFormat="false" ht="15" hidden="false" customHeight="true" outlineLevel="0" collapsed="false">
      <c r="A7" s="1" t="s">
        <v>318</v>
      </c>
      <c r="B7" s="1" t="s">
        <v>319</v>
      </c>
      <c r="C7" s="1" t="s">
        <v>320</v>
      </c>
      <c r="D7" s="1" t="s">
        <v>321</v>
      </c>
    </row>
    <row r="8" customFormat="false" ht="15" hidden="false" customHeight="true" outlineLevel="0" collapsed="false">
      <c r="A8" s="1" t="s">
        <v>322</v>
      </c>
      <c r="B8" s="1" t="s">
        <v>323</v>
      </c>
      <c r="C8" s="1" t="s">
        <v>324</v>
      </c>
      <c r="D8" s="1" t="s">
        <v>325</v>
      </c>
    </row>
    <row r="9" customFormat="false" ht="15" hidden="false" customHeight="true" outlineLevel="0" collapsed="false">
      <c r="A9" s="1" t="s">
        <v>326</v>
      </c>
      <c r="B9" s="1" t="s">
        <v>327</v>
      </c>
      <c r="C9" s="1" t="s">
        <v>328</v>
      </c>
      <c r="D9" s="1" t="s">
        <v>329</v>
      </c>
    </row>
    <row r="10" customFormat="false" ht="15" hidden="false" customHeight="true" outlineLevel="0" collapsed="false">
      <c r="A10" s="1" t="s">
        <v>13</v>
      </c>
      <c r="B10" s="1" t="s">
        <v>330</v>
      </c>
      <c r="C10" s="1" t="s">
        <v>331</v>
      </c>
      <c r="D10" s="1" t="s">
        <v>332</v>
      </c>
    </row>
    <row r="11" customFormat="false" ht="15" hidden="false" customHeight="true" outlineLevel="0" collapsed="false">
      <c r="A11" s="1" t="s">
        <v>333</v>
      </c>
      <c r="B11" s="1" t="s">
        <v>334</v>
      </c>
      <c r="C11" s="1" t="s">
        <v>335</v>
      </c>
      <c r="D11" s="1" t="s">
        <v>336</v>
      </c>
    </row>
    <row r="12" customFormat="false" ht="15" hidden="false" customHeight="true" outlineLevel="0" collapsed="false">
      <c r="A12" s="1" t="s">
        <v>138</v>
      </c>
      <c r="B12" s="1" t="s">
        <v>337</v>
      </c>
      <c r="C12" s="1" t="s">
        <v>335</v>
      </c>
      <c r="D12" s="1" t="s">
        <v>338</v>
      </c>
    </row>
    <row r="13" customFormat="false" ht="15" hidden="false" customHeight="true" outlineLevel="0" collapsed="false">
      <c r="A13" s="1" t="s">
        <v>339</v>
      </c>
      <c r="B13" s="1" t="s">
        <v>340</v>
      </c>
      <c r="C13" s="1" t="s">
        <v>341</v>
      </c>
      <c r="D13" s="1" t="s">
        <v>342</v>
      </c>
    </row>
    <row r="14" customFormat="false" ht="15" hidden="false" customHeight="true" outlineLevel="0" collapsed="false">
      <c r="A14" s="1" t="s">
        <v>343</v>
      </c>
      <c r="B14" s="1" t="s">
        <v>344</v>
      </c>
      <c r="C14" s="1" t="s">
        <v>345</v>
      </c>
      <c r="D14" s="1" t="s">
        <v>346</v>
      </c>
    </row>
    <row r="15" customFormat="false" ht="15" hidden="false" customHeight="true" outlineLevel="0" collapsed="false">
      <c r="A15" s="1" t="s">
        <v>347</v>
      </c>
      <c r="B15" s="1" t="s">
        <v>348</v>
      </c>
      <c r="C15" s="1" t="s">
        <v>328</v>
      </c>
      <c r="D15" s="1" t="s">
        <v>349</v>
      </c>
    </row>
    <row r="16" customFormat="false" ht="15" hidden="false" customHeight="true" outlineLevel="0" collapsed="false">
      <c r="A16" s="1" t="s">
        <v>350</v>
      </c>
      <c r="B16" s="1" t="s">
        <v>351</v>
      </c>
      <c r="C16" s="1" t="s">
        <v>352</v>
      </c>
      <c r="D16" s="1" t="s">
        <v>353</v>
      </c>
    </row>
    <row r="17" customFormat="false" ht="15" hidden="false" customHeight="true" outlineLevel="0" collapsed="false">
      <c r="A17" s="1" t="s">
        <v>354</v>
      </c>
      <c r="B17" s="1" t="s">
        <v>355</v>
      </c>
      <c r="C17" s="1" t="s">
        <v>356</v>
      </c>
      <c r="D17" s="1" t="s">
        <v>357</v>
      </c>
    </row>
    <row r="18" customFormat="false" ht="15" hidden="false" customHeight="true" outlineLevel="0" collapsed="false">
      <c r="A18" s="1" t="s">
        <v>358</v>
      </c>
      <c r="B18" s="1" t="s">
        <v>359</v>
      </c>
      <c r="C18" s="1" t="s">
        <v>360</v>
      </c>
      <c r="D18" s="1" t="s">
        <v>361</v>
      </c>
    </row>
    <row r="19" customFormat="false" ht="15" hidden="false" customHeight="true" outlineLevel="0" collapsed="false">
      <c r="A19" s="1" t="s">
        <v>362</v>
      </c>
      <c r="B19" s="1" t="s">
        <v>363</v>
      </c>
      <c r="C19" s="1" t="s">
        <v>364</v>
      </c>
      <c r="D19" s="1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35"/>
    <col collapsed="false" customWidth="true" hidden="false" outlineLevel="0" max="4" min="4" style="1" width="21"/>
  </cols>
  <sheetData>
    <row r="1" customFormat="false" ht="17.25" hidden="false" customHeight="true" outlineLevel="0" collapsed="false">
      <c r="A1" s="2" t="s">
        <v>366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367</v>
      </c>
      <c r="B5" s="4" t="s">
        <v>368</v>
      </c>
      <c r="C5" s="4" t="s">
        <v>369</v>
      </c>
      <c r="D5" s="4" t="s">
        <v>370</v>
      </c>
    </row>
    <row r="6" customFormat="false" ht="15" hidden="false" customHeight="true" outlineLevel="0" collapsed="false">
      <c r="A6" s="1" t="s">
        <v>371</v>
      </c>
      <c r="B6" s="1" t="s">
        <v>372</v>
      </c>
      <c r="C6" s="1" t="s">
        <v>373</v>
      </c>
      <c r="D6" s="1" t="s">
        <v>374</v>
      </c>
    </row>
    <row r="7" customFormat="false" ht="15" hidden="false" customHeight="true" outlineLevel="0" collapsed="false">
      <c r="A7" s="1" t="s">
        <v>371</v>
      </c>
      <c r="B7" s="1" t="s">
        <v>375</v>
      </c>
      <c r="C7" s="1" t="s">
        <v>333</v>
      </c>
      <c r="D7" s="1" t="s">
        <v>374</v>
      </c>
    </row>
    <row r="8" customFormat="false" ht="15" hidden="false" customHeight="true" outlineLevel="0" collapsed="false">
      <c r="A8" s="1" t="s">
        <v>371</v>
      </c>
      <c r="B8" s="1" t="s">
        <v>376</v>
      </c>
      <c r="C8" s="1" t="s">
        <v>377</v>
      </c>
      <c r="D8" s="1" t="s">
        <v>374</v>
      </c>
    </row>
    <row r="9" customFormat="false" ht="15" hidden="false" customHeight="true" outlineLevel="0" collapsed="false">
      <c r="A9" s="1" t="s">
        <v>371</v>
      </c>
      <c r="B9" s="1" t="s">
        <v>378</v>
      </c>
      <c r="C9" s="1" t="s">
        <v>379</v>
      </c>
      <c r="D9" s="1" t="s">
        <v>374</v>
      </c>
    </row>
    <row r="10" customFormat="false" ht="15" hidden="false" customHeight="true" outlineLevel="0" collapsed="false">
      <c r="A10" s="1" t="s">
        <v>371</v>
      </c>
      <c r="B10" s="1" t="s">
        <v>380</v>
      </c>
      <c r="C10" s="1" t="s">
        <v>381</v>
      </c>
      <c r="D10" s="1" t="s">
        <v>374</v>
      </c>
    </row>
    <row r="11" customFormat="false" ht="15" hidden="false" customHeight="true" outlineLevel="0" collapsed="false">
      <c r="A11" s="1" t="s">
        <v>371</v>
      </c>
      <c r="B11" s="1" t="s">
        <v>382</v>
      </c>
      <c r="C11" s="1" t="s">
        <v>383</v>
      </c>
      <c r="D11" s="1" t="s">
        <v>374</v>
      </c>
    </row>
    <row r="12" customFormat="false" ht="15" hidden="false" customHeight="true" outlineLevel="0" collapsed="false">
      <c r="A12" s="1" t="s">
        <v>384</v>
      </c>
      <c r="B12" s="1" t="s">
        <v>385</v>
      </c>
      <c r="C12" s="1" t="s">
        <v>386</v>
      </c>
      <c r="D12" s="1" t="s">
        <v>374</v>
      </c>
    </row>
    <row r="13" customFormat="false" ht="15" hidden="false" customHeight="true" outlineLevel="0" collapsed="false">
      <c r="A13" s="1" t="s">
        <v>387</v>
      </c>
      <c r="B13" s="1" t="s">
        <v>388</v>
      </c>
      <c r="C13" s="1" t="s">
        <v>389</v>
      </c>
      <c r="D13" s="1" t="s">
        <v>374</v>
      </c>
    </row>
    <row r="14" customFormat="false" ht="15" hidden="false" customHeight="true" outlineLevel="0" collapsed="false">
      <c r="A14" s="1" t="s">
        <v>390</v>
      </c>
      <c r="B14" s="1" t="s">
        <v>391</v>
      </c>
      <c r="C14" s="1" t="s">
        <v>392</v>
      </c>
      <c r="D14" s="1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33"/>
    <col collapsed="false" customWidth="true" hidden="false" outlineLevel="0" max="5" min="5" style="1" width="12"/>
    <col collapsed="false" customWidth="true" hidden="false" outlineLevel="0" max="7" min="6" style="1" width="45"/>
    <col collapsed="false" customWidth="true" hidden="false" outlineLevel="0" max="8" min="8" style="1" width="12"/>
    <col collapsed="false" customWidth="true" hidden="false" outlineLevel="0" max="10" min="9" style="1" width="24"/>
    <col collapsed="false" customWidth="true" hidden="false" outlineLevel="0" max="11" min="11" style="1" width="17"/>
  </cols>
  <sheetData>
    <row r="1" customFormat="false" ht="17.25" hidden="false" customHeight="true" outlineLevel="0" collapsed="false">
      <c r="A1" s="2" t="s">
        <v>394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3" t="n">
        <v>46271</v>
      </c>
      <c r="C3" s="1" t="s">
        <v>4</v>
      </c>
      <c r="D3" s="1" t="s">
        <v>5</v>
      </c>
    </row>
    <row r="4" customFormat="false" ht="15" hidden="false" customHeight="false" outlineLevel="0" collapsed="false"/>
    <row r="5" customFormat="false" ht="31.5" hidden="false" customHeight="true" outlineLevel="0" collapsed="false">
      <c r="A5" s="4" t="s">
        <v>29</v>
      </c>
      <c r="B5" s="4" t="s">
        <v>395</v>
      </c>
      <c r="C5" s="4" t="s">
        <v>147</v>
      </c>
      <c r="D5" s="4" t="s">
        <v>396</v>
      </c>
      <c r="E5" s="4" t="s">
        <v>142</v>
      </c>
      <c r="F5" s="4" t="s">
        <v>138</v>
      </c>
      <c r="G5" s="4" t="s">
        <v>397</v>
      </c>
      <c r="H5" s="4" t="s">
        <v>140</v>
      </c>
      <c r="I5" s="4" t="s">
        <v>398</v>
      </c>
      <c r="J5" s="4" t="s">
        <v>125</v>
      </c>
      <c r="K5" s="4" t="s">
        <v>399</v>
      </c>
    </row>
    <row r="6" customFormat="false" ht="15" hidden="false" customHeight="true" outlineLevel="0" collapsed="false">
      <c r="A6" s="1" t="s">
        <v>65</v>
      </c>
      <c r="B6" s="1" t="s">
        <v>73</v>
      </c>
      <c r="C6" s="7" t="n">
        <v>44652</v>
      </c>
      <c r="D6" s="6" t="n">
        <f aca="false">03_Initial_Recognition!$B$6</f>
        <v>5574738.88803275</v>
      </c>
      <c r="E6" s="1" t="n">
        <v>0</v>
      </c>
      <c r="F6" s="6" t="n">
        <f aca="false">D6*((1+01_Lease_Master!$P$6)^(E6/365)-1)</f>
        <v>0</v>
      </c>
      <c r="G6" s="6" t="n">
        <f aca="false">SUMIFS(02_Payment_Schedule!E:E,02_Payment_Schedule!A:A,A6,02_Payment_Schedule!D:D,C6)</f>
        <v>1200000</v>
      </c>
      <c r="H6" s="6" t="n">
        <f aca="false">G6-F6</f>
        <v>1200000</v>
      </c>
      <c r="I6" s="6" t="n">
        <f aca="false">MAX(0,D6+F6-G6)</f>
        <v>4374738.88803275</v>
      </c>
      <c r="J6" s="6" t="str">
        <f aca="false">IF(G6&gt;0,"YES","NO")</f>
        <v>YES</v>
      </c>
      <c r="K6" s="1" t="n">
        <f aca="false">D6+F6-G6</f>
        <v>4374738.88803275</v>
      </c>
    </row>
    <row r="7" customFormat="false" ht="15" hidden="false" customHeight="true" outlineLevel="0" collapsed="false">
      <c r="A7" s="1" t="s">
        <v>65</v>
      </c>
      <c r="B7" s="1" t="s">
        <v>73</v>
      </c>
      <c r="C7" s="7" t="n">
        <v>44682</v>
      </c>
      <c r="D7" s="6" t="n">
        <f aca="false">I6</f>
        <v>4374738.88803275</v>
      </c>
      <c r="E7" s="1" t="n">
        <v>30</v>
      </c>
      <c r="F7" s="6" t="n">
        <f aca="false">D7*((1+01_Lease_Master!$P$6)^(E7/365)-1)</f>
        <v>31096.7061763249</v>
      </c>
      <c r="G7" s="6" t="n">
        <f aca="false">SUMIFS(02_Payment_Schedule!E:E,02_Payment_Schedule!A:A,A7,02_Payment_Schedule!D:D,C7)</f>
        <v>0</v>
      </c>
      <c r="H7" s="6" t="n">
        <f aca="false">G7-F7</f>
        <v>-31096.7061763249</v>
      </c>
      <c r="I7" s="6" t="n">
        <f aca="false">MAX(0,D7+F7-G7)</f>
        <v>4405835.59420908</v>
      </c>
      <c r="J7" s="6" t="str">
        <f aca="false">IF(G7&gt;0,"YES","NO")</f>
        <v>NO</v>
      </c>
      <c r="K7" s="1" t="n">
        <f aca="false">D7+F7-G7</f>
        <v>4405835.59420908</v>
      </c>
    </row>
    <row r="8" customFormat="false" ht="15" hidden="false" customHeight="true" outlineLevel="0" collapsed="false">
      <c r="A8" s="1" t="s">
        <v>65</v>
      </c>
      <c r="B8" s="1" t="s">
        <v>73</v>
      </c>
      <c r="C8" s="7" t="n">
        <v>44713</v>
      </c>
      <c r="D8" s="6" t="n">
        <f aca="false">I7</f>
        <v>4405835.59420908</v>
      </c>
      <c r="E8" s="1" t="n">
        <v>31</v>
      </c>
      <c r="F8" s="6" t="n">
        <f aca="false">D8*((1+01_Lease_Master!$P$6)^(E8/365)-1)</f>
        <v>32365.4992442347</v>
      </c>
      <c r="G8" s="6" t="n">
        <f aca="false">SUMIFS(02_Payment_Schedule!E:E,02_Payment_Schedule!A:A,A8,02_Payment_Schedule!D:D,C8)</f>
        <v>0</v>
      </c>
      <c r="H8" s="6" t="n">
        <f aca="false">G8-F8</f>
        <v>-32365.4992442347</v>
      </c>
      <c r="I8" s="6" t="n">
        <f aca="false">MAX(0,D8+F8-G8)</f>
        <v>4438201.09345331</v>
      </c>
      <c r="J8" s="6" t="str">
        <f aca="false">IF(G8&gt;0,"YES","NO")</f>
        <v>NO</v>
      </c>
      <c r="K8" s="1" t="n">
        <f aca="false">D8+F8-G8</f>
        <v>4438201.09345331</v>
      </c>
    </row>
    <row r="9" customFormat="false" ht="15" hidden="false" customHeight="true" outlineLevel="0" collapsed="false">
      <c r="A9" s="1" t="s">
        <v>65</v>
      </c>
      <c r="B9" s="1" t="s">
        <v>73</v>
      </c>
      <c r="C9" s="7" t="n">
        <v>44743</v>
      </c>
      <c r="D9" s="6" t="n">
        <f aca="false">I8</f>
        <v>4438201.09345331</v>
      </c>
      <c r="E9" s="1" t="n">
        <v>30</v>
      </c>
      <c r="F9" s="6" t="n">
        <f aca="false">D9*((1+01_Lease_Master!$P$6)^(E9/365)-1)</f>
        <v>31547.8109406945</v>
      </c>
      <c r="G9" s="6" t="n">
        <f aca="false">SUMIFS(02_Payment_Schedule!E:E,02_Payment_Schedule!A:A,A9,02_Payment_Schedule!D:D,C9)</f>
        <v>0</v>
      </c>
      <c r="H9" s="6" t="n">
        <f aca="false">G9-F9</f>
        <v>-31547.8109406945</v>
      </c>
      <c r="I9" s="6" t="n">
        <f aca="false">MAX(0,D9+F9-G9)</f>
        <v>4469748.90439401</v>
      </c>
      <c r="J9" s="6" t="str">
        <f aca="false">IF(G9&gt;0,"YES","NO")</f>
        <v>NO</v>
      </c>
      <c r="K9" s="1" t="n">
        <f aca="false">D9+F9-G9</f>
        <v>4469748.90439401</v>
      </c>
    </row>
    <row r="10" customFormat="false" ht="15" hidden="false" customHeight="true" outlineLevel="0" collapsed="false">
      <c r="A10" s="1" t="s">
        <v>65</v>
      </c>
      <c r="B10" s="1" t="s">
        <v>73</v>
      </c>
      <c r="C10" s="7" t="n">
        <v>44774</v>
      </c>
      <c r="D10" s="6" t="n">
        <f aca="false">I9</f>
        <v>4469748.90439401</v>
      </c>
      <c r="E10" s="1" t="n">
        <v>31</v>
      </c>
      <c r="F10" s="6" t="n">
        <f aca="false">D10*((1+01_Lease_Master!$P$6)^(E10/365)-1)</f>
        <v>32835.0097714105</v>
      </c>
      <c r="G10" s="6" t="n">
        <f aca="false">SUMIFS(02_Payment_Schedule!E:E,02_Payment_Schedule!A:A,A10,02_Payment_Schedule!D:D,C10)</f>
        <v>0</v>
      </c>
      <c r="H10" s="6" t="n">
        <f aca="false">G10-F10</f>
        <v>-32835.0097714105</v>
      </c>
      <c r="I10" s="6" t="n">
        <f aca="false">MAX(0,D10+F10-G10)</f>
        <v>4502583.91416542</v>
      </c>
      <c r="J10" s="6" t="str">
        <f aca="false">IF(G10&gt;0,"YES","NO")</f>
        <v>NO</v>
      </c>
      <c r="K10" s="1" t="n">
        <f aca="false">D10+F10-G10</f>
        <v>4502583.91416542</v>
      </c>
    </row>
    <row r="11" customFormat="false" ht="15" hidden="false" customHeight="true" outlineLevel="0" collapsed="false">
      <c r="A11" s="1" t="s">
        <v>65</v>
      </c>
      <c r="B11" s="1" t="s">
        <v>73</v>
      </c>
      <c r="C11" s="7" t="n">
        <v>44805</v>
      </c>
      <c r="D11" s="6" t="n">
        <f aca="false">I10</f>
        <v>4502583.91416542</v>
      </c>
      <c r="E11" s="1" t="n">
        <v>31</v>
      </c>
      <c r="F11" s="6" t="n">
        <f aca="false">D11*((1+01_Lease_Master!$P$6)^(E11/365)-1)</f>
        <v>33076.2174745163</v>
      </c>
      <c r="G11" s="6" t="n">
        <f aca="false">SUMIFS(02_Payment_Schedule!E:E,02_Payment_Schedule!A:A,A11,02_Payment_Schedule!D:D,C11)</f>
        <v>0</v>
      </c>
      <c r="H11" s="6" t="n">
        <f aca="false">G11-F11</f>
        <v>-33076.2174745163</v>
      </c>
      <c r="I11" s="6" t="n">
        <f aca="false">MAX(0,D11+F11-G11)</f>
        <v>4535660.13163993</v>
      </c>
      <c r="J11" s="6" t="str">
        <f aca="false">IF(G11&gt;0,"YES","NO")</f>
        <v>NO</v>
      </c>
      <c r="K11" s="1" t="n">
        <f aca="false">D11+F11-G11</f>
        <v>4535660.13163993</v>
      </c>
    </row>
    <row r="12" customFormat="false" ht="15" hidden="false" customHeight="true" outlineLevel="0" collapsed="false">
      <c r="A12" s="1" t="s">
        <v>65</v>
      </c>
      <c r="B12" s="1" t="s">
        <v>73</v>
      </c>
      <c r="C12" s="7" t="n">
        <v>44835</v>
      </c>
      <c r="D12" s="6" t="n">
        <f aca="false">I11</f>
        <v>4535660.13163993</v>
      </c>
      <c r="E12" s="1" t="n">
        <v>30</v>
      </c>
      <c r="F12" s="6" t="n">
        <f aca="false">D12*((1+01_Lease_Master!$P$6)^(E12/365)-1)</f>
        <v>32240.573446591</v>
      </c>
      <c r="G12" s="6" t="n">
        <f aca="false">SUMIFS(02_Payment_Schedule!E:E,02_Payment_Schedule!A:A,A12,02_Payment_Schedule!D:D,C12)</f>
        <v>0</v>
      </c>
      <c r="H12" s="6" t="n">
        <f aca="false">G12-F12</f>
        <v>-32240.573446591</v>
      </c>
      <c r="I12" s="6" t="n">
        <f aca="false">MAX(0,D12+F12-G12)</f>
        <v>4567900.70508653</v>
      </c>
      <c r="J12" s="6" t="str">
        <f aca="false">IF(G12&gt;0,"YES","NO")</f>
        <v>NO</v>
      </c>
      <c r="K12" s="1" t="n">
        <f aca="false">D12+F12-G12</f>
        <v>4567900.70508653</v>
      </c>
    </row>
    <row r="13" customFormat="false" ht="15" hidden="false" customHeight="true" outlineLevel="0" collapsed="false">
      <c r="A13" s="1" t="s">
        <v>65</v>
      </c>
      <c r="B13" s="1" t="s">
        <v>73</v>
      </c>
      <c r="C13" s="7" t="n">
        <v>44866</v>
      </c>
      <c r="D13" s="6" t="n">
        <f aca="false">I12</f>
        <v>4567900.70508653</v>
      </c>
      <c r="E13" s="1" t="n">
        <v>31</v>
      </c>
      <c r="F13" s="6" t="n">
        <f aca="false">D13*((1+01_Lease_Master!$P$6)^(E13/365)-1)</f>
        <v>33556.0380447553</v>
      </c>
      <c r="G13" s="6" t="n">
        <f aca="false">SUMIFS(02_Payment_Schedule!E:E,02_Payment_Schedule!A:A,A13,02_Payment_Schedule!D:D,C13)</f>
        <v>0</v>
      </c>
      <c r="H13" s="6" t="n">
        <f aca="false">G13-F13</f>
        <v>-33556.0380447553</v>
      </c>
      <c r="I13" s="6" t="n">
        <f aca="false">MAX(0,D13+F13-G13)</f>
        <v>4601456.74313128</v>
      </c>
      <c r="J13" s="6" t="str">
        <f aca="false">IF(G13&gt;0,"YES","NO")</f>
        <v>NO</v>
      </c>
      <c r="K13" s="1" t="n">
        <f aca="false">D13+F13-G13</f>
        <v>4601456.74313128</v>
      </c>
    </row>
    <row r="14" customFormat="false" ht="15" hidden="false" customHeight="true" outlineLevel="0" collapsed="false">
      <c r="A14" s="1" t="s">
        <v>65</v>
      </c>
      <c r="B14" s="1" t="s">
        <v>73</v>
      </c>
      <c r="C14" s="7" t="n">
        <v>44896</v>
      </c>
      <c r="D14" s="6" t="n">
        <f aca="false">I13</f>
        <v>4601456.74313128</v>
      </c>
      <c r="E14" s="1" t="n">
        <v>30</v>
      </c>
      <c r="F14" s="6" t="n">
        <f aca="false">D14*((1+01_Lease_Master!$P$6)^(E14/365)-1)</f>
        <v>32708.2717360915</v>
      </c>
      <c r="G14" s="6" t="n">
        <f aca="false">SUMIFS(02_Payment_Schedule!E:E,02_Payment_Schedule!A:A,A14,02_Payment_Schedule!D:D,C14)</f>
        <v>0</v>
      </c>
      <c r="H14" s="6" t="n">
        <f aca="false">G14-F14</f>
        <v>-32708.2717360915</v>
      </c>
      <c r="I14" s="6" t="n">
        <f aca="false">MAX(0,D14+F14-G14)</f>
        <v>4634165.01486737</v>
      </c>
      <c r="J14" s="6" t="str">
        <f aca="false">IF(G14&gt;0,"YES","NO")</f>
        <v>NO</v>
      </c>
      <c r="K14" s="1" t="n">
        <f aca="false">D14+F14-G14</f>
        <v>4634165.01486737</v>
      </c>
    </row>
    <row r="15" customFormat="false" ht="15" hidden="false" customHeight="true" outlineLevel="0" collapsed="false">
      <c r="A15" s="1" t="s">
        <v>65</v>
      </c>
      <c r="B15" s="1" t="s">
        <v>73</v>
      </c>
      <c r="C15" s="7" t="n">
        <v>44927</v>
      </c>
      <c r="D15" s="6" t="n">
        <f aca="false">I14</f>
        <v>4634165.01486737</v>
      </c>
      <c r="E15" s="1" t="n">
        <v>31</v>
      </c>
      <c r="F15" s="6" t="n">
        <f aca="false">D15*((1+01_Lease_Master!$P$6)^(E15/365)-1)</f>
        <v>34042.8191382103</v>
      </c>
      <c r="G15" s="6" t="n">
        <f aca="false">SUMIFS(02_Payment_Schedule!E:E,02_Payment_Schedule!A:A,A15,02_Payment_Schedule!D:D,C15)</f>
        <v>0</v>
      </c>
      <c r="H15" s="6" t="n">
        <f aca="false">G15-F15</f>
        <v>-34042.8191382103</v>
      </c>
      <c r="I15" s="6" t="n">
        <f aca="false">MAX(0,D15+F15-G15)</f>
        <v>4668207.83400558</v>
      </c>
      <c r="J15" s="6" t="str">
        <f aca="false">IF(G15&gt;0,"YES","NO")</f>
        <v>NO</v>
      </c>
      <c r="K15" s="1" t="n">
        <f aca="false">D15+F15-G15</f>
        <v>4668207.83400558</v>
      </c>
    </row>
    <row r="16" customFormat="false" ht="15" hidden="false" customHeight="true" outlineLevel="0" collapsed="false">
      <c r="A16" s="1" t="s">
        <v>65</v>
      </c>
      <c r="B16" s="1" t="s">
        <v>73</v>
      </c>
      <c r="C16" s="7" t="n">
        <v>44958</v>
      </c>
      <c r="D16" s="6" t="n">
        <f aca="false">I15</f>
        <v>4668207.83400558</v>
      </c>
      <c r="E16" s="1" t="n">
        <v>31</v>
      </c>
      <c r="F16" s="6" t="n">
        <f aca="false">D16*((1+01_Lease_Master!$P$6)^(E16/365)-1)</f>
        <v>34292.8994722422</v>
      </c>
      <c r="G16" s="6" t="n">
        <f aca="false">SUMIFS(02_Payment_Schedule!E:E,02_Payment_Schedule!A:A,A16,02_Payment_Schedule!D:D,C16)</f>
        <v>0</v>
      </c>
      <c r="H16" s="6" t="n">
        <f aca="false">G16-F16</f>
        <v>-34292.8994722422</v>
      </c>
      <c r="I16" s="6" t="n">
        <f aca="false">MAX(0,D16+F16-G16)</f>
        <v>4702500.73347782</v>
      </c>
      <c r="J16" s="6" t="str">
        <f aca="false">IF(G16&gt;0,"YES","NO")</f>
        <v>NO</v>
      </c>
      <c r="K16" s="1" t="n">
        <f aca="false">D16+F16-G16</f>
        <v>4702500.73347782</v>
      </c>
    </row>
    <row r="17" customFormat="false" ht="15" hidden="false" customHeight="true" outlineLevel="0" collapsed="false">
      <c r="A17" s="1" t="s">
        <v>65</v>
      </c>
      <c r="B17" s="1" t="s">
        <v>73</v>
      </c>
      <c r="C17" s="7" t="n">
        <v>44986</v>
      </c>
      <c r="D17" s="6" t="n">
        <f aca="false">I16</f>
        <v>4702500.73347782</v>
      </c>
      <c r="E17" s="1" t="n">
        <v>28</v>
      </c>
      <c r="F17" s="6" t="n">
        <f aca="false">D17*((1+01_Lease_Master!$P$6)^(E17/365)-1)</f>
        <v>31190.7089850276</v>
      </c>
      <c r="G17" s="6" t="n">
        <f aca="false">SUMIFS(02_Payment_Schedule!E:E,02_Payment_Schedule!A:A,A17,02_Payment_Schedule!D:D,C17)</f>
        <v>0</v>
      </c>
      <c r="H17" s="6" t="n">
        <f aca="false">G17-F17</f>
        <v>-31190.7089850276</v>
      </c>
      <c r="I17" s="6" t="n">
        <f aca="false">MAX(0,D17+F17-G17)</f>
        <v>4733691.44246285</v>
      </c>
      <c r="J17" s="6" t="str">
        <f aca="false">IF(G17&gt;0,"YES","NO")</f>
        <v>NO</v>
      </c>
      <c r="K17" s="1" t="n">
        <f aca="false">D17+F17-G17</f>
        <v>4733691.44246285</v>
      </c>
    </row>
    <row r="18" customFormat="false" ht="15" hidden="false" customHeight="true" outlineLevel="0" collapsed="false">
      <c r="A18" s="1" t="s">
        <v>65</v>
      </c>
      <c r="B18" s="1" t="s">
        <v>73</v>
      </c>
      <c r="C18" s="7" t="n">
        <v>45017</v>
      </c>
      <c r="D18" s="6" t="n">
        <f aca="false">I17</f>
        <v>4733691.44246285</v>
      </c>
      <c r="E18" s="1" t="n">
        <v>31</v>
      </c>
      <c r="F18" s="6" t="n">
        <f aca="false">D18*((1+01_Lease_Master!$P$6)^(E18/365)-1)</f>
        <v>34773.945492847</v>
      </c>
      <c r="G18" s="6" t="n">
        <f aca="false">SUMIFS(02_Payment_Schedule!E:E,02_Payment_Schedule!A:A,A18,02_Payment_Schedule!D:D,C18)</f>
        <v>1260000</v>
      </c>
      <c r="H18" s="6" t="n">
        <f aca="false">G18-F18</f>
        <v>1225226.05450715</v>
      </c>
      <c r="I18" s="6" t="n">
        <f aca="false">MAX(0,D18+F18-G18)</f>
        <v>3508465.3879557</v>
      </c>
      <c r="J18" s="6" t="str">
        <f aca="false">IF(G18&gt;0,"YES","NO")</f>
        <v>YES</v>
      </c>
      <c r="K18" s="1" t="n">
        <f aca="false">D18+F18-G18</f>
        <v>3508465.3879557</v>
      </c>
    </row>
    <row r="19" customFormat="false" ht="15" hidden="false" customHeight="true" outlineLevel="0" collapsed="false">
      <c r="A19" s="1" t="s">
        <v>65</v>
      </c>
      <c r="B19" s="1" t="s">
        <v>73</v>
      </c>
      <c r="C19" s="7" t="n">
        <v>45047</v>
      </c>
      <c r="D19" s="6" t="n">
        <f aca="false">I18</f>
        <v>3508465.3879557</v>
      </c>
      <c r="E19" s="1" t="n">
        <v>30</v>
      </c>
      <c r="F19" s="6" t="n">
        <f aca="false">D19*((1+01_Lease_Master!$P$6)^(E19/365)-1)</f>
        <v>24939.0238118018</v>
      </c>
      <c r="G19" s="6" t="n">
        <f aca="false">SUMIFS(02_Payment_Schedule!E:E,02_Payment_Schedule!A:A,A19,02_Payment_Schedule!D:D,C19)</f>
        <v>0</v>
      </c>
      <c r="H19" s="6" t="n">
        <f aca="false">G19-F19</f>
        <v>-24939.0238118018</v>
      </c>
      <c r="I19" s="6" t="n">
        <f aca="false">MAX(0,D19+F19-G19)</f>
        <v>3533404.4117675</v>
      </c>
      <c r="J19" s="6" t="str">
        <f aca="false">IF(G19&gt;0,"YES","NO")</f>
        <v>NO</v>
      </c>
      <c r="K19" s="1" t="n">
        <f aca="false">D19+F19-G19</f>
        <v>3533404.4117675</v>
      </c>
    </row>
    <row r="20" customFormat="false" ht="15" hidden="false" customHeight="true" outlineLevel="0" collapsed="false">
      <c r="A20" s="1" t="s">
        <v>65</v>
      </c>
      <c r="B20" s="1" t="s">
        <v>73</v>
      </c>
      <c r="C20" s="7" t="n">
        <v>45078</v>
      </c>
      <c r="D20" s="6" t="n">
        <f aca="false">I19</f>
        <v>3533404.4117675</v>
      </c>
      <c r="E20" s="1" t="n">
        <v>31</v>
      </c>
      <c r="F20" s="6" t="n">
        <f aca="false">D20*((1+01_Lease_Master!$P$6)^(E20/365)-1)</f>
        <v>25956.574042152</v>
      </c>
      <c r="G20" s="6" t="n">
        <f aca="false">SUMIFS(02_Payment_Schedule!E:E,02_Payment_Schedule!A:A,A20,02_Payment_Schedule!D:D,C20)</f>
        <v>0</v>
      </c>
      <c r="H20" s="6" t="n">
        <f aca="false">G20-F20</f>
        <v>-25956.574042152</v>
      </c>
      <c r="I20" s="6" t="n">
        <f aca="false">MAX(0,D20+F20-G20)</f>
        <v>3559360.98580965</v>
      </c>
      <c r="J20" s="6" t="str">
        <f aca="false">IF(G20&gt;0,"YES","NO")</f>
        <v>NO</v>
      </c>
      <c r="K20" s="1" t="n">
        <f aca="false">D20+F20-G20</f>
        <v>3559360.98580965</v>
      </c>
    </row>
    <row r="21" customFormat="false" ht="15" hidden="false" customHeight="true" outlineLevel="0" collapsed="false">
      <c r="A21" s="1" t="s">
        <v>65</v>
      </c>
      <c r="B21" s="1" t="s">
        <v>73</v>
      </c>
      <c r="C21" s="7" t="n">
        <v>45108</v>
      </c>
      <c r="D21" s="6" t="n">
        <f aca="false">I20</f>
        <v>3559360.98580965</v>
      </c>
      <c r="E21" s="1" t="n">
        <v>30</v>
      </c>
      <c r="F21" s="6" t="n">
        <f aca="false">D21*((1+01_Lease_Master!$P$6)^(E21/365)-1)</f>
        <v>25300.8020784915</v>
      </c>
      <c r="G21" s="6" t="n">
        <f aca="false">SUMIFS(02_Payment_Schedule!E:E,02_Payment_Schedule!A:A,A21,02_Payment_Schedule!D:D,C21)</f>
        <v>0</v>
      </c>
      <c r="H21" s="6" t="n">
        <f aca="false">G21-F21</f>
        <v>-25300.8020784915</v>
      </c>
      <c r="I21" s="6" t="n">
        <f aca="false">MAX(0,D21+F21-G21)</f>
        <v>3584661.78788814</v>
      </c>
      <c r="J21" s="6" t="str">
        <f aca="false">IF(G21&gt;0,"YES","NO")</f>
        <v>NO</v>
      </c>
      <c r="K21" s="1" t="n">
        <f aca="false">D21+F21-G21</f>
        <v>3584661.78788814</v>
      </c>
    </row>
    <row r="22" customFormat="false" ht="15" hidden="false" customHeight="true" outlineLevel="0" collapsed="false">
      <c r="A22" s="1" t="s">
        <v>65</v>
      </c>
      <c r="B22" s="1" t="s">
        <v>73</v>
      </c>
      <c r="C22" s="7" t="n">
        <v>45139</v>
      </c>
      <c r="D22" s="6" t="n">
        <f aca="false">I21</f>
        <v>3584661.78788814</v>
      </c>
      <c r="E22" s="1" t="n">
        <v>31</v>
      </c>
      <c r="F22" s="6" t="n">
        <f aca="false">D22*((1+01_Lease_Master!$P$6)^(E22/365)-1)</f>
        <v>26333.1134142236</v>
      </c>
      <c r="G22" s="6" t="n">
        <f aca="false">SUMIFS(02_Payment_Schedule!E:E,02_Payment_Schedule!A:A,A22,02_Payment_Schedule!D:D,C22)</f>
        <v>0</v>
      </c>
      <c r="H22" s="6" t="n">
        <f aca="false">G22-F22</f>
        <v>-26333.1134142236</v>
      </c>
      <c r="I22" s="6" t="n">
        <f aca="false">MAX(0,D22+F22-G22)</f>
        <v>3610994.90130237</v>
      </c>
      <c r="J22" s="6" t="str">
        <f aca="false">IF(G22&gt;0,"YES","NO")</f>
        <v>NO</v>
      </c>
      <c r="K22" s="1" t="n">
        <f aca="false">D22+F22-G22</f>
        <v>3610994.90130237</v>
      </c>
    </row>
    <row r="23" customFormat="false" ht="15" hidden="false" customHeight="true" outlineLevel="0" collapsed="false">
      <c r="A23" s="1" t="s">
        <v>65</v>
      </c>
      <c r="B23" s="1" t="s">
        <v>73</v>
      </c>
      <c r="C23" s="7" t="n">
        <v>45170</v>
      </c>
      <c r="D23" s="6" t="n">
        <f aca="false">I22</f>
        <v>3610994.90130237</v>
      </c>
      <c r="E23" s="1" t="n">
        <v>31</v>
      </c>
      <c r="F23" s="6" t="n">
        <f aca="false">D23*((1+01_Lease_Master!$P$6)^(E23/365)-1)</f>
        <v>26526.5578458376</v>
      </c>
      <c r="G23" s="6" t="n">
        <f aca="false">SUMIFS(02_Payment_Schedule!E:E,02_Payment_Schedule!A:A,A23,02_Payment_Schedule!D:D,C23)</f>
        <v>0</v>
      </c>
      <c r="H23" s="6" t="n">
        <f aca="false">G23-F23</f>
        <v>-26526.5578458376</v>
      </c>
      <c r="I23" s="6" t="n">
        <f aca="false">MAX(0,D23+F23-G23)</f>
        <v>3637521.45914821</v>
      </c>
      <c r="J23" s="6" t="str">
        <f aca="false">IF(G23&gt;0,"YES","NO")</f>
        <v>NO</v>
      </c>
      <c r="K23" s="1" t="n">
        <f aca="false">D23+F23-G23</f>
        <v>3637521.45914821</v>
      </c>
    </row>
    <row r="24" customFormat="false" ht="15" hidden="false" customHeight="true" outlineLevel="0" collapsed="false">
      <c r="A24" s="1" t="s">
        <v>65</v>
      </c>
      <c r="B24" s="1" t="s">
        <v>73</v>
      </c>
      <c r="C24" s="7" t="n">
        <v>45200</v>
      </c>
      <c r="D24" s="6" t="n">
        <f aca="false">I23</f>
        <v>3637521.45914821</v>
      </c>
      <c r="E24" s="1" t="n">
        <v>30</v>
      </c>
      <c r="F24" s="6" t="n">
        <f aca="false">D24*((1+01_Lease_Master!$P$6)^(E24/365)-1)</f>
        <v>25856.385699873</v>
      </c>
      <c r="G24" s="6" t="n">
        <f aca="false">SUMIFS(02_Payment_Schedule!E:E,02_Payment_Schedule!A:A,A24,02_Payment_Schedule!D:D,C24)</f>
        <v>0</v>
      </c>
      <c r="H24" s="6" t="n">
        <f aca="false">G24-F24</f>
        <v>-25856.385699873</v>
      </c>
      <c r="I24" s="6" t="n">
        <f aca="false">MAX(0,D24+F24-G24)</f>
        <v>3663377.84484808</v>
      </c>
      <c r="J24" s="6" t="str">
        <f aca="false">IF(G24&gt;0,"YES","NO")</f>
        <v>NO</v>
      </c>
      <c r="K24" s="1" t="n">
        <f aca="false">D24+F24-G24</f>
        <v>3663377.84484808</v>
      </c>
    </row>
    <row r="25" customFormat="false" ht="15" hidden="false" customHeight="true" outlineLevel="0" collapsed="false">
      <c r="A25" s="1" t="s">
        <v>65</v>
      </c>
      <c r="B25" s="1" t="s">
        <v>73</v>
      </c>
      <c r="C25" s="7" t="n">
        <v>45231</v>
      </c>
      <c r="D25" s="6" t="n">
        <f aca="false">I24</f>
        <v>3663377.84484808</v>
      </c>
      <c r="E25" s="1" t="n">
        <v>31</v>
      </c>
      <c r="F25" s="6" t="n">
        <f aca="false">D25*((1+01_Lease_Master!$P$6)^(E25/365)-1)</f>
        <v>26911.3656952198</v>
      </c>
      <c r="G25" s="6" t="n">
        <f aca="false">SUMIFS(02_Payment_Schedule!E:E,02_Payment_Schedule!A:A,A25,02_Payment_Schedule!D:D,C25)</f>
        <v>0</v>
      </c>
      <c r="H25" s="6" t="n">
        <f aca="false">G25-F25</f>
        <v>-26911.3656952198</v>
      </c>
      <c r="I25" s="6" t="n">
        <f aca="false">MAX(0,D25+F25-G25)</f>
        <v>3690289.2105433</v>
      </c>
      <c r="J25" s="6" t="str">
        <f aca="false">IF(G25&gt;0,"YES","NO")</f>
        <v>NO</v>
      </c>
      <c r="K25" s="1" t="n">
        <f aca="false">D25+F25-G25</f>
        <v>3690289.2105433</v>
      </c>
    </row>
    <row r="26" customFormat="false" ht="15" hidden="false" customHeight="true" outlineLevel="0" collapsed="false">
      <c r="A26" s="1" t="s">
        <v>65</v>
      </c>
      <c r="B26" s="1" t="s">
        <v>73</v>
      </c>
      <c r="C26" s="7" t="n">
        <v>45261</v>
      </c>
      <c r="D26" s="6" t="n">
        <f aca="false">I25</f>
        <v>3690289.2105433</v>
      </c>
      <c r="E26" s="1" t="n">
        <v>30</v>
      </c>
      <c r="F26" s="6" t="n">
        <f aca="false">D26*((1+01_Lease_Master!$P$6)^(E26/365)-1)</f>
        <v>26231.4716884807</v>
      </c>
      <c r="G26" s="6" t="n">
        <f aca="false">SUMIFS(02_Payment_Schedule!E:E,02_Payment_Schedule!A:A,A26,02_Payment_Schedule!D:D,C26)</f>
        <v>0</v>
      </c>
      <c r="H26" s="6" t="n">
        <f aca="false">G26-F26</f>
        <v>-26231.4716884807</v>
      </c>
      <c r="I26" s="6" t="n">
        <f aca="false">MAX(0,D26+F26-G26)</f>
        <v>3716520.68223178</v>
      </c>
      <c r="J26" s="6" t="str">
        <f aca="false">IF(G26&gt;0,"YES","NO")</f>
        <v>NO</v>
      </c>
      <c r="K26" s="1" t="n">
        <f aca="false">D26+F26-G26</f>
        <v>3716520.68223178</v>
      </c>
    </row>
    <row r="27" customFormat="false" ht="15" hidden="false" customHeight="true" outlineLevel="0" collapsed="false">
      <c r="A27" s="1" t="s">
        <v>65</v>
      </c>
      <c r="B27" s="1" t="s">
        <v>73</v>
      </c>
      <c r="C27" s="7" t="n">
        <v>45292</v>
      </c>
      <c r="D27" s="6" t="n">
        <f aca="false">I26</f>
        <v>3716520.68223178</v>
      </c>
      <c r="E27" s="1" t="n">
        <v>31</v>
      </c>
      <c r="F27" s="6" t="n">
        <f aca="false">D27*((1+01_Lease_Master!$P$6)^(E27/365)-1)</f>
        <v>27301.7557645722</v>
      </c>
      <c r="G27" s="6" t="n">
        <f aca="false">SUMIFS(02_Payment_Schedule!E:E,02_Payment_Schedule!A:A,A27,02_Payment_Schedule!D:D,C27)</f>
        <v>0</v>
      </c>
      <c r="H27" s="6" t="n">
        <f aca="false">G27-F27</f>
        <v>-27301.7557645722</v>
      </c>
      <c r="I27" s="6" t="n">
        <f aca="false">MAX(0,D27+F27-G27)</f>
        <v>3743822.43799635</v>
      </c>
      <c r="J27" s="6" t="str">
        <f aca="false">IF(G27&gt;0,"YES","NO")</f>
        <v>NO</v>
      </c>
      <c r="K27" s="1" t="n">
        <f aca="false">D27+F27-G27</f>
        <v>3743822.43799635</v>
      </c>
    </row>
    <row r="28" customFormat="false" ht="15" hidden="false" customHeight="true" outlineLevel="0" collapsed="false">
      <c r="A28" s="1" t="s">
        <v>65</v>
      </c>
      <c r="B28" s="1" t="s">
        <v>73</v>
      </c>
      <c r="C28" s="7" t="n">
        <v>45323</v>
      </c>
      <c r="D28" s="6" t="n">
        <f aca="false">I27</f>
        <v>3743822.43799635</v>
      </c>
      <c r="E28" s="1" t="n">
        <v>31</v>
      </c>
      <c r="F28" s="6" t="n">
        <f aca="false">D28*((1+01_Lease_Master!$P$6)^(E28/365)-1)</f>
        <v>27502.3158936715</v>
      </c>
      <c r="G28" s="6" t="n">
        <f aca="false">SUMIFS(02_Payment_Schedule!E:E,02_Payment_Schedule!A:A,A28,02_Payment_Schedule!D:D,C28)</f>
        <v>0</v>
      </c>
      <c r="H28" s="6" t="n">
        <f aca="false">G28-F28</f>
        <v>-27502.3158936715</v>
      </c>
      <c r="I28" s="6" t="n">
        <f aca="false">MAX(0,D28+F28-G28)</f>
        <v>3771324.75389002</v>
      </c>
      <c r="J28" s="6" t="str">
        <f aca="false">IF(G28&gt;0,"YES","NO")</f>
        <v>NO</v>
      </c>
      <c r="K28" s="1" t="n">
        <f aca="false">D28+F28-G28</f>
        <v>3771324.75389002</v>
      </c>
    </row>
    <row r="29" customFormat="false" ht="15" hidden="false" customHeight="true" outlineLevel="0" collapsed="false">
      <c r="A29" s="1" t="s">
        <v>65</v>
      </c>
      <c r="B29" s="1" t="s">
        <v>73</v>
      </c>
      <c r="C29" s="7" t="n">
        <v>45352</v>
      </c>
      <c r="D29" s="6" t="n">
        <f aca="false">I28</f>
        <v>3771324.75389002</v>
      </c>
      <c r="E29" s="1" t="n">
        <v>29</v>
      </c>
      <c r="F29" s="6" t="n">
        <f aca="false">D29*((1+01_Lease_Master!$P$6)^(E29/365)-1)</f>
        <v>25910.8463890283</v>
      </c>
      <c r="G29" s="6" t="n">
        <f aca="false">SUMIFS(02_Payment_Schedule!E:E,02_Payment_Schedule!A:A,A29,02_Payment_Schedule!D:D,C29)</f>
        <v>0</v>
      </c>
      <c r="H29" s="6" t="n">
        <f aca="false">G29-F29</f>
        <v>-25910.8463890283</v>
      </c>
      <c r="I29" s="6" t="n">
        <f aca="false">MAX(0,D29+F29-G29)</f>
        <v>3797235.60027905</v>
      </c>
      <c r="J29" s="6" t="str">
        <f aca="false">IF(G29&gt;0,"YES","NO")</f>
        <v>NO</v>
      </c>
      <c r="K29" s="1" t="n">
        <f aca="false">D29+F29-G29</f>
        <v>3797235.60027905</v>
      </c>
    </row>
    <row r="30" customFormat="false" ht="15" hidden="false" customHeight="true" outlineLevel="0" collapsed="false">
      <c r="A30" s="1" t="s">
        <v>65</v>
      </c>
      <c r="B30" s="1" t="s">
        <v>73</v>
      </c>
      <c r="C30" s="7" t="n">
        <v>45383</v>
      </c>
      <c r="D30" s="6" t="n">
        <f aca="false">I29</f>
        <v>3797235.60027905</v>
      </c>
      <c r="E30" s="1" t="n">
        <v>31</v>
      </c>
      <c r="F30" s="6" t="n">
        <f aca="false">D30*((1+01_Lease_Master!$P$6)^(E30/365)-1)</f>
        <v>27894.6917839033</v>
      </c>
      <c r="G30" s="6" t="n">
        <f aca="false">SUMIFS(02_Payment_Schedule!E:E,02_Payment_Schedule!A:A,A30,02_Payment_Schedule!D:D,C30)</f>
        <v>1323000</v>
      </c>
      <c r="H30" s="6" t="n">
        <f aca="false">G30-F30</f>
        <v>1295105.3082161</v>
      </c>
      <c r="I30" s="6" t="n">
        <f aca="false">MAX(0,D30+F30-G30)</f>
        <v>2502130.29206295</v>
      </c>
      <c r="J30" s="6" t="str">
        <f aca="false">IF(G30&gt;0,"YES","NO")</f>
        <v>YES</v>
      </c>
      <c r="K30" s="1" t="n">
        <f aca="false">D30+F30-G30</f>
        <v>2502130.29206295</v>
      </c>
    </row>
    <row r="31" customFormat="false" ht="15" hidden="false" customHeight="true" outlineLevel="0" collapsed="false">
      <c r="A31" s="1" t="s">
        <v>65</v>
      </c>
      <c r="B31" s="1" t="s">
        <v>73</v>
      </c>
      <c r="C31" s="7" t="n">
        <v>45413</v>
      </c>
      <c r="D31" s="6" t="n">
        <f aca="false">I30</f>
        <v>2502130.29206295</v>
      </c>
      <c r="E31" s="1" t="n">
        <v>30</v>
      </c>
      <c r="F31" s="6" t="n">
        <f aca="false">D31*((1+01_Lease_Master!$P$6)^(E31/365)-1)</f>
        <v>17785.7496181109</v>
      </c>
      <c r="G31" s="6" t="n">
        <f aca="false">SUMIFS(02_Payment_Schedule!E:E,02_Payment_Schedule!A:A,A31,02_Payment_Schedule!D:D,C31)</f>
        <v>0</v>
      </c>
      <c r="H31" s="6" t="n">
        <f aca="false">G31-F31</f>
        <v>-17785.7496181109</v>
      </c>
      <c r="I31" s="6" t="n">
        <f aca="false">MAX(0,D31+F31-G31)</f>
        <v>2519916.04168107</v>
      </c>
      <c r="J31" s="6" t="str">
        <f aca="false">IF(G31&gt;0,"YES","NO")</f>
        <v>NO</v>
      </c>
      <c r="K31" s="1" t="n">
        <f aca="false">D31+F31-G31</f>
        <v>2519916.04168107</v>
      </c>
    </row>
    <row r="32" customFormat="false" ht="15" hidden="false" customHeight="true" outlineLevel="0" collapsed="false">
      <c r="A32" s="1" t="s">
        <v>65</v>
      </c>
      <c r="B32" s="1" t="s">
        <v>73</v>
      </c>
      <c r="C32" s="7" t="n">
        <v>45444</v>
      </c>
      <c r="D32" s="6" t="n">
        <f aca="false">I31</f>
        <v>2519916.04168107</v>
      </c>
      <c r="E32" s="1" t="n">
        <v>31</v>
      </c>
      <c r="F32" s="6" t="n">
        <f aca="false">D32*((1+01_Lease_Master!$P$6)^(E32/365)-1)</f>
        <v>18511.4353449234</v>
      </c>
      <c r="G32" s="6" t="n">
        <f aca="false">SUMIFS(02_Payment_Schedule!E:E,02_Payment_Schedule!A:A,A32,02_Payment_Schedule!D:D,C32)</f>
        <v>0</v>
      </c>
      <c r="H32" s="6" t="n">
        <f aca="false">G32-F32</f>
        <v>-18511.4353449234</v>
      </c>
      <c r="I32" s="6" t="n">
        <f aca="false">MAX(0,D32+F32-G32)</f>
        <v>2538427.47702599</v>
      </c>
      <c r="J32" s="6" t="str">
        <f aca="false">IF(G32&gt;0,"YES","NO")</f>
        <v>NO</v>
      </c>
      <c r="K32" s="1" t="n">
        <f aca="false">D32+F32-G32</f>
        <v>2538427.47702599</v>
      </c>
    </row>
    <row r="33" customFormat="false" ht="15" hidden="false" customHeight="true" outlineLevel="0" collapsed="false">
      <c r="A33" s="1" t="s">
        <v>65</v>
      </c>
      <c r="B33" s="1" t="s">
        <v>73</v>
      </c>
      <c r="C33" s="7" t="n">
        <v>45474</v>
      </c>
      <c r="D33" s="6" t="n">
        <f aca="false">I32</f>
        <v>2538427.47702599</v>
      </c>
      <c r="E33" s="1" t="n">
        <v>30</v>
      </c>
      <c r="F33" s="6" t="n">
        <f aca="false">D33*((1+01_Lease_Master!$P$6)^(E33/365)-1)</f>
        <v>18043.7588215655</v>
      </c>
      <c r="G33" s="6" t="n">
        <f aca="false">SUMIFS(02_Payment_Schedule!E:E,02_Payment_Schedule!A:A,A33,02_Payment_Schedule!D:D,C33)</f>
        <v>0</v>
      </c>
      <c r="H33" s="6" t="n">
        <f aca="false">G33-F33</f>
        <v>-18043.7588215655</v>
      </c>
      <c r="I33" s="6" t="n">
        <f aca="false">MAX(0,D33+F33-G33)</f>
        <v>2556471.23584755</v>
      </c>
      <c r="J33" s="6" t="str">
        <f aca="false">IF(G33&gt;0,"YES","NO")</f>
        <v>NO</v>
      </c>
      <c r="K33" s="1" t="n">
        <f aca="false">D33+F33-G33</f>
        <v>2556471.23584755</v>
      </c>
    </row>
    <row r="34" customFormat="false" ht="15" hidden="false" customHeight="true" outlineLevel="0" collapsed="false">
      <c r="A34" s="1" t="s">
        <v>65</v>
      </c>
      <c r="B34" s="1" t="s">
        <v>73</v>
      </c>
      <c r="C34" s="7" t="n">
        <v>45505</v>
      </c>
      <c r="D34" s="6" t="n">
        <f aca="false">I33</f>
        <v>2556471.23584755</v>
      </c>
      <c r="E34" s="1" t="n">
        <v>31</v>
      </c>
      <c r="F34" s="6" t="n">
        <f aca="false">D34*((1+01_Lease_Master!$P$6)^(E34/365)-1)</f>
        <v>18779.9717176204</v>
      </c>
      <c r="G34" s="6" t="n">
        <f aca="false">SUMIFS(02_Payment_Schedule!E:E,02_Payment_Schedule!A:A,A34,02_Payment_Schedule!D:D,C34)</f>
        <v>0</v>
      </c>
      <c r="H34" s="6" t="n">
        <f aca="false">G34-F34</f>
        <v>-18779.9717176204</v>
      </c>
      <c r="I34" s="6" t="n">
        <f aca="false">MAX(0,D34+F34-G34)</f>
        <v>2575251.20756517</v>
      </c>
      <c r="J34" s="6" t="str">
        <f aca="false">IF(G34&gt;0,"YES","NO")</f>
        <v>NO</v>
      </c>
      <c r="K34" s="1" t="n">
        <f aca="false">D34+F34-G34</f>
        <v>2575251.20756517</v>
      </c>
    </row>
    <row r="35" customFormat="false" ht="15" hidden="false" customHeight="true" outlineLevel="0" collapsed="false">
      <c r="A35" s="1" t="s">
        <v>65</v>
      </c>
      <c r="B35" s="1" t="s">
        <v>73</v>
      </c>
      <c r="C35" s="7" t="n">
        <v>45536</v>
      </c>
      <c r="D35" s="6" t="n">
        <f aca="false">I34</f>
        <v>2575251.20756517</v>
      </c>
      <c r="E35" s="1" t="n">
        <v>31</v>
      </c>
      <c r="F35" s="6" t="n">
        <f aca="false">D35*((1+01_Lease_Master!$P$6)^(E35/365)-1)</f>
        <v>18917.9303743693</v>
      </c>
      <c r="G35" s="6" t="n">
        <f aca="false">SUMIFS(02_Payment_Schedule!E:E,02_Payment_Schedule!A:A,A35,02_Payment_Schedule!D:D,C35)</f>
        <v>0</v>
      </c>
      <c r="H35" s="6" t="n">
        <f aca="false">G35-F35</f>
        <v>-18917.9303743693</v>
      </c>
      <c r="I35" s="6" t="n">
        <f aca="false">MAX(0,D35+F35-G35)</f>
        <v>2594169.13793954</v>
      </c>
      <c r="J35" s="6" t="str">
        <f aca="false">IF(G35&gt;0,"YES","NO")</f>
        <v>NO</v>
      </c>
      <c r="K35" s="1" t="n">
        <f aca="false">D35+F35-G35</f>
        <v>2594169.13793954</v>
      </c>
    </row>
    <row r="36" customFormat="false" ht="15" hidden="false" customHeight="true" outlineLevel="0" collapsed="false">
      <c r="A36" s="1" t="s">
        <v>65</v>
      </c>
      <c r="B36" s="1" t="s">
        <v>73</v>
      </c>
      <c r="C36" s="7" t="n">
        <v>45566</v>
      </c>
      <c r="D36" s="6" t="n">
        <f aca="false">I35</f>
        <v>2594169.13793954</v>
      </c>
      <c r="E36" s="1" t="n">
        <v>30</v>
      </c>
      <c r="F36" s="6" t="n">
        <f aca="false">D36*((1+01_Lease_Master!$P$6)^(E36/365)-1)</f>
        <v>18439.9840810778</v>
      </c>
      <c r="G36" s="6" t="n">
        <f aca="false">SUMIFS(02_Payment_Schedule!E:E,02_Payment_Schedule!A:A,A36,02_Payment_Schedule!D:D,C36)</f>
        <v>0</v>
      </c>
      <c r="H36" s="6" t="n">
        <f aca="false">G36-F36</f>
        <v>-18439.9840810778</v>
      </c>
      <c r="I36" s="6" t="n">
        <f aca="false">MAX(0,D36+F36-G36)</f>
        <v>2612609.12202062</v>
      </c>
      <c r="J36" s="6" t="str">
        <f aca="false">IF(G36&gt;0,"YES","NO")</f>
        <v>NO</v>
      </c>
      <c r="K36" s="1" t="n">
        <f aca="false">D36+F36-G36</f>
        <v>2612609.12202062</v>
      </c>
    </row>
    <row r="37" customFormat="false" ht="15" hidden="false" customHeight="true" outlineLevel="0" collapsed="false">
      <c r="A37" s="1" t="s">
        <v>65</v>
      </c>
      <c r="B37" s="1" t="s">
        <v>73</v>
      </c>
      <c r="C37" s="7" t="n">
        <v>45597</v>
      </c>
      <c r="D37" s="6" t="n">
        <f aca="false">I36</f>
        <v>2612609.12202062</v>
      </c>
      <c r="E37" s="1" t="n">
        <v>31</v>
      </c>
      <c r="F37" s="6" t="n">
        <f aca="false">D37*((1+01_Lease_Master!$P$6)^(E37/365)-1)</f>
        <v>19192.3635723904</v>
      </c>
      <c r="G37" s="6" t="n">
        <f aca="false">SUMIFS(02_Payment_Schedule!E:E,02_Payment_Schedule!A:A,A37,02_Payment_Schedule!D:D,C37)</f>
        <v>0</v>
      </c>
      <c r="H37" s="6" t="n">
        <f aca="false">G37-F37</f>
        <v>-19192.3635723904</v>
      </c>
      <c r="I37" s="6" t="n">
        <f aca="false">MAX(0,D37+F37-G37)</f>
        <v>2631801.48559301</v>
      </c>
      <c r="J37" s="6" t="str">
        <f aca="false">IF(G37&gt;0,"YES","NO")</f>
        <v>NO</v>
      </c>
      <c r="K37" s="1" t="n">
        <f aca="false">D37+F37-G37</f>
        <v>2631801.48559301</v>
      </c>
    </row>
    <row r="38" customFormat="false" ht="15" hidden="false" customHeight="true" outlineLevel="0" collapsed="false">
      <c r="A38" s="1" t="s">
        <v>65</v>
      </c>
      <c r="B38" s="1" t="s">
        <v>73</v>
      </c>
      <c r="C38" s="7" t="n">
        <v>45627</v>
      </c>
      <c r="D38" s="6" t="n">
        <f aca="false">I37</f>
        <v>2631801.48559301</v>
      </c>
      <c r="E38" s="1" t="n">
        <v>30</v>
      </c>
      <c r="F38" s="6" t="n">
        <f aca="false">D38*((1+01_Lease_Master!$P$6)^(E38/365)-1)</f>
        <v>18707.4839451054</v>
      </c>
      <c r="G38" s="6" t="n">
        <f aca="false">SUMIFS(02_Payment_Schedule!E:E,02_Payment_Schedule!A:A,A38,02_Payment_Schedule!D:D,C38)</f>
        <v>0</v>
      </c>
      <c r="H38" s="6" t="n">
        <f aca="false">G38-F38</f>
        <v>-18707.4839451054</v>
      </c>
      <c r="I38" s="6" t="n">
        <f aca="false">MAX(0,D38+F38-G38)</f>
        <v>2650508.96953812</v>
      </c>
      <c r="J38" s="6" t="str">
        <f aca="false">IF(G38&gt;0,"YES","NO")</f>
        <v>NO</v>
      </c>
      <c r="K38" s="1" t="n">
        <f aca="false">D38+F38-G38</f>
        <v>2650508.96953812</v>
      </c>
    </row>
    <row r="39" customFormat="false" ht="15" hidden="false" customHeight="true" outlineLevel="0" collapsed="false">
      <c r="A39" s="1" t="s">
        <v>65</v>
      </c>
      <c r="B39" s="1" t="s">
        <v>73</v>
      </c>
      <c r="C39" s="7" t="n">
        <v>45658</v>
      </c>
      <c r="D39" s="6" t="n">
        <f aca="false">I38</f>
        <v>2650508.96953812</v>
      </c>
      <c r="E39" s="1" t="n">
        <v>31</v>
      </c>
      <c r="F39" s="6" t="n">
        <f aca="false">D39*((1+01_Lease_Master!$P$6)^(E39/365)-1)</f>
        <v>19470.7778390953</v>
      </c>
      <c r="G39" s="6" t="n">
        <f aca="false">SUMIFS(02_Payment_Schedule!E:E,02_Payment_Schedule!A:A,A39,02_Payment_Schedule!D:D,C39)</f>
        <v>0</v>
      </c>
      <c r="H39" s="6" t="n">
        <f aca="false">G39-F39</f>
        <v>-19470.7778390953</v>
      </c>
      <c r="I39" s="6" t="n">
        <f aca="false">MAX(0,D39+F39-G39)</f>
        <v>2669979.74737721</v>
      </c>
      <c r="J39" s="6" t="str">
        <f aca="false">IF(G39&gt;0,"YES","NO")</f>
        <v>NO</v>
      </c>
      <c r="K39" s="1" t="n">
        <f aca="false">D39+F39-G39</f>
        <v>2669979.74737721</v>
      </c>
    </row>
    <row r="40" customFormat="false" ht="15" hidden="false" customHeight="true" outlineLevel="0" collapsed="false">
      <c r="A40" s="1" t="s">
        <v>65</v>
      </c>
      <c r="B40" s="1" t="s">
        <v>73</v>
      </c>
      <c r="C40" s="7" t="n">
        <v>45689</v>
      </c>
      <c r="D40" s="6" t="n">
        <f aca="false">I39</f>
        <v>2669979.74737721</v>
      </c>
      <c r="E40" s="1" t="n">
        <v>31</v>
      </c>
      <c r="F40" s="6" t="n">
        <f aca="false">D40*((1+01_Lease_Master!$P$6)^(E40/365)-1)</f>
        <v>19613.8111938269</v>
      </c>
      <c r="G40" s="6" t="n">
        <f aca="false">SUMIFS(02_Payment_Schedule!E:E,02_Payment_Schedule!A:A,A40,02_Payment_Schedule!D:D,C40)</f>
        <v>0</v>
      </c>
      <c r="H40" s="6" t="n">
        <f aca="false">G40-F40</f>
        <v>-19613.8111938269</v>
      </c>
      <c r="I40" s="6" t="n">
        <f aca="false">MAX(0,D40+F40-G40)</f>
        <v>2689593.55857104</v>
      </c>
      <c r="J40" s="6" t="str">
        <f aca="false">IF(G40&gt;0,"YES","NO")</f>
        <v>NO</v>
      </c>
      <c r="K40" s="1" t="n">
        <f aca="false">D40+F40-G40</f>
        <v>2689593.55857104</v>
      </c>
    </row>
    <row r="41" customFormat="false" ht="15" hidden="false" customHeight="true" outlineLevel="0" collapsed="false">
      <c r="A41" s="1" t="s">
        <v>65</v>
      </c>
      <c r="B41" s="1" t="s">
        <v>73</v>
      </c>
      <c r="C41" s="7" t="n">
        <v>45717</v>
      </c>
      <c r="D41" s="6" t="n">
        <f aca="false">I40</f>
        <v>2689593.55857104</v>
      </c>
      <c r="E41" s="1" t="n">
        <v>28</v>
      </c>
      <c r="F41" s="6" t="n">
        <f aca="false">D41*((1+01_Lease_Master!$P$6)^(E41/365)-1)</f>
        <v>17839.514489847</v>
      </c>
      <c r="G41" s="6" t="n">
        <f aca="false">SUMIFS(02_Payment_Schedule!E:E,02_Payment_Schedule!A:A,A41,02_Payment_Schedule!D:D,C41)</f>
        <v>0</v>
      </c>
      <c r="H41" s="6" t="n">
        <f aca="false">G41-F41</f>
        <v>-17839.514489847</v>
      </c>
      <c r="I41" s="6" t="n">
        <f aca="false">MAX(0,D41+F41-G41)</f>
        <v>2707433.07306089</v>
      </c>
      <c r="J41" s="6" t="str">
        <f aca="false">IF(G41&gt;0,"YES","NO")</f>
        <v>NO</v>
      </c>
      <c r="K41" s="1" t="n">
        <f aca="false">D41+F41-G41</f>
        <v>2707433.07306089</v>
      </c>
    </row>
    <row r="42" customFormat="false" ht="15" hidden="false" customHeight="true" outlineLevel="0" collapsed="false">
      <c r="A42" s="1" t="s">
        <v>65</v>
      </c>
      <c r="B42" s="1" t="s">
        <v>73</v>
      </c>
      <c r="C42" s="7" t="n">
        <v>45748</v>
      </c>
      <c r="D42" s="6" t="n">
        <f aca="false">I41</f>
        <v>2707433.07306089</v>
      </c>
      <c r="E42" s="1" t="n">
        <v>31</v>
      </c>
      <c r="F42" s="6" t="n">
        <f aca="false">D42*((1+01_Lease_Master!$P$6)^(E42/365)-1)</f>
        <v>19888.9452877324</v>
      </c>
      <c r="G42" s="6" t="n">
        <f aca="false">SUMIFS(02_Payment_Schedule!E:E,02_Payment_Schedule!A:A,A42,02_Payment_Schedule!D:D,C42)</f>
        <v>1389150</v>
      </c>
      <c r="H42" s="6" t="n">
        <f aca="false">G42-F42</f>
        <v>1369261.05471227</v>
      </c>
      <c r="I42" s="6" t="n">
        <f aca="false">MAX(0,D42+F42-G42)</f>
        <v>1338172.01834862</v>
      </c>
      <c r="J42" s="6" t="str">
        <f aca="false">IF(G42&gt;0,"YES","NO")</f>
        <v>YES</v>
      </c>
      <c r="K42" s="1" t="n">
        <f aca="false">D42+F42-G42</f>
        <v>1338172.01834862</v>
      </c>
    </row>
    <row r="43" customFormat="false" ht="15" hidden="false" customHeight="true" outlineLevel="0" collapsed="false">
      <c r="A43" s="1" t="s">
        <v>65</v>
      </c>
      <c r="B43" s="1" t="s">
        <v>73</v>
      </c>
      <c r="C43" s="7" t="n">
        <v>45778</v>
      </c>
      <c r="D43" s="6" t="n">
        <f aca="false">I42</f>
        <v>1338172.01834862</v>
      </c>
      <c r="E43" s="1" t="n">
        <v>30</v>
      </c>
      <c r="F43" s="6" t="n">
        <f aca="false">D43*((1+01_Lease_Master!$P$6)^(E43/365)-1)</f>
        <v>9512.05160650837</v>
      </c>
      <c r="G43" s="6" t="n">
        <f aca="false">SUMIFS(02_Payment_Schedule!E:E,02_Payment_Schedule!A:A,A43,02_Payment_Schedule!D:D,C43)</f>
        <v>0</v>
      </c>
      <c r="H43" s="6" t="n">
        <f aca="false">G43-F43</f>
        <v>-9512.05160650837</v>
      </c>
      <c r="I43" s="6" t="n">
        <f aca="false">MAX(0,D43+F43-G43)</f>
        <v>1347684.06995513</v>
      </c>
      <c r="J43" s="6" t="str">
        <f aca="false">IF(G43&gt;0,"YES","NO")</f>
        <v>NO</v>
      </c>
      <c r="K43" s="1" t="n">
        <f aca="false">D43+F43-G43</f>
        <v>1347684.06995513</v>
      </c>
    </row>
    <row r="44" customFormat="false" ht="15" hidden="false" customHeight="true" outlineLevel="0" collapsed="false">
      <c r="A44" s="1" t="s">
        <v>65</v>
      </c>
      <c r="B44" s="1" t="s">
        <v>73</v>
      </c>
      <c r="C44" s="7" t="n">
        <v>45809</v>
      </c>
      <c r="D44" s="6" t="n">
        <f aca="false">I43</f>
        <v>1347684.06995513</v>
      </c>
      <c r="E44" s="1" t="n">
        <v>31</v>
      </c>
      <c r="F44" s="6" t="n">
        <f aca="false">D44*((1+01_Lease_Master!$P$6)^(E44/365)-1)</f>
        <v>9900.1578281611</v>
      </c>
      <c r="G44" s="6" t="n">
        <f aca="false">SUMIFS(02_Payment_Schedule!E:E,02_Payment_Schedule!A:A,A44,02_Payment_Schedule!D:D,C44)</f>
        <v>0</v>
      </c>
      <c r="H44" s="6" t="n">
        <f aca="false">G44-F44</f>
        <v>-9900.1578281611</v>
      </c>
      <c r="I44" s="6" t="n">
        <f aca="false">MAX(0,D44+F44-G44)</f>
        <v>1357584.22778329</v>
      </c>
      <c r="J44" s="6" t="str">
        <f aca="false">IF(G44&gt;0,"YES","NO")</f>
        <v>NO</v>
      </c>
      <c r="K44" s="1" t="n">
        <f aca="false">D44+F44-G44</f>
        <v>1357584.22778329</v>
      </c>
    </row>
    <row r="45" customFormat="false" ht="15" hidden="false" customHeight="true" outlineLevel="0" collapsed="false">
      <c r="A45" s="1" t="s">
        <v>65</v>
      </c>
      <c r="B45" s="1" t="s">
        <v>73</v>
      </c>
      <c r="C45" s="7" t="n">
        <v>45839</v>
      </c>
      <c r="D45" s="6" t="n">
        <f aca="false">I44</f>
        <v>1357584.22778329</v>
      </c>
      <c r="E45" s="1" t="n">
        <v>30</v>
      </c>
      <c r="F45" s="6" t="n">
        <f aca="false">D45*((1+01_Lease_Master!$P$6)^(E45/365)-1)</f>
        <v>9650.03830433725</v>
      </c>
      <c r="G45" s="6" t="n">
        <f aca="false">SUMIFS(02_Payment_Schedule!E:E,02_Payment_Schedule!A:A,A45,02_Payment_Schedule!D:D,C45)</f>
        <v>0</v>
      </c>
      <c r="H45" s="6" t="n">
        <f aca="false">G45-F45</f>
        <v>-9650.03830433725</v>
      </c>
      <c r="I45" s="6" t="n">
        <f aca="false">MAX(0,D45+F45-G45)</f>
        <v>1367234.26608763</v>
      </c>
      <c r="J45" s="6" t="str">
        <f aca="false">IF(G45&gt;0,"YES","NO")</f>
        <v>NO</v>
      </c>
      <c r="K45" s="1" t="n">
        <f aca="false">D45+F45-G45</f>
        <v>1367234.26608763</v>
      </c>
    </row>
    <row r="46" customFormat="false" ht="15" hidden="false" customHeight="true" outlineLevel="0" collapsed="false">
      <c r="A46" s="1" t="s">
        <v>65</v>
      </c>
      <c r="B46" s="1" t="s">
        <v>73</v>
      </c>
      <c r="C46" s="7" t="n">
        <v>45870</v>
      </c>
      <c r="D46" s="6" t="n">
        <f aca="false">I45</f>
        <v>1367234.26608763</v>
      </c>
      <c r="E46" s="1" t="n">
        <v>31</v>
      </c>
      <c r="F46" s="6" t="n">
        <f aca="false">D46*((1+01_Lease_Master!$P$6)^(E46/365)-1)</f>
        <v>10043.7745938395</v>
      </c>
      <c r="G46" s="6" t="n">
        <f aca="false">SUMIFS(02_Payment_Schedule!E:E,02_Payment_Schedule!A:A,A46,02_Payment_Schedule!D:D,C46)</f>
        <v>0</v>
      </c>
      <c r="H46" s="6" t="n">
        <f aca="false">G46-F46</f>
        <v>-10043.7745938395</v>
      </c>
      <c r="I46" s="6" t="n">
        <f aca="false">MAX(0,D46+F46-G46)</f>
        <v>1377278.04068147</v>
      </c>
      <c r="J46" s="6" t="str">
        <f aca="false">IF(G46&gt;0,"YES","NO")</f>
        <v>NO</v>
      </c>
      <c r="K46" s="1" t="n">
        <f aca="false">D46+F46-G46</f>
        <v>1377278.04068147</v>
      </c>
    </row>
    <row r="47" customFormat="false" ht="15" hidden="false" customHeight="true" outlineLevel="0" collapsed="false">
      <c r="A47" s="1" t="s">
        <v>65</v>
      </c>
      <c r="B47" s="1" t="s">
        <v>73</v>
      </c>
      <c r="C47" s="7" t="n">
        <v>45901</v>
      </c>
      <c r="D47" s="6" t="n">
        <f aca="false">I46</f>
        <v>1377278.04068147</v>
      </c>
      <c r="E47" s="1" t="n">
        <v>31</v>
      </c>
      <c r="F47" s="6" t="n">
        <f aca="false">D47*((1+01_Lease_Master!$P$6)^(E47/365)-1)</f>
        <v>10117.5566885353</v>
      </c>
      <c r="G47" s="6" t="n">
        <f aca="false">SUMIFS(02_Payment_Schedule!E:E,02_Payment_Schedule!A:A,A47,02_Payment_Schedule!D:D,C47)</f>
        <v>0</v>
      </c>
      <c r="H47" s="6" t="n">
        <f aca="false">G47-F47</f>
        <v>-10117.5566885353</v>
      </c>
      <c r="I47" s="6" t="n">
        <f aca="false">MAX(0,D47+F47-G47)</f>
        <v>1387395.59737</v>
      </c>
      <c r="J47" s="6" t="str">
        <f aca="false">IF(G47&gt;0,"YES","NO")</f>
        <v>NO</v>
      </c>
      <c r="K47" s="1" t="n">
        <f aca="false">D47+F47-G47</f>
        <v>1387395.59737</v>
      </c>
    </row>
    <row r="48" customFormat="false" ht="15" hidden="false" customHeight="true" outlineLevel="0" collapsed="false">
      <c r="A48" s="1" t="s">
        <v>65</v>
      </c>
      <c r="B48" s="1" t="s">
        <v>73</v>
      </c>
      <c r="C48" s="7" t="n">
        <v>45931</v>
      </c>
      <c r="D48" s="6" t="n">
        <f aca="false">I47</f>
        <v>1387395.59737</v>
      </c>
      <c r="E48" s="1" t="n">
        <v>30</v>
      </c>
      <c r="F48" s="6" t="n">
        <f aca="false">D48*((1+01_Lease_Master!$P$6)^(E48/365)-1)</f>
        <v>9861.94475738013</v>
      </c>
      <c r="G48" s="6" t="n">
        <f aca="false">SUMIFS(02_Payment_Schedule!E:E,02_Payment_Schedule!A:A,A48,02_Payment_Schedule!D:D,C48)</f>
        <v>0</v>
      </c>
      <c r="H48" s="6" t="n">
        <f aca="false">G48-F48</f>
        <v>-9861.94475738013</v>
      </c>
      <c r="I48" s="6" t="n">
        <f aca="false">MAX(0,D48+F48-G48)</f>
        <v>1397257.54212738</v>
      </c>
      <c r="J48" s="6" t="str">
        <f aca="false">IF(G48&gt;0,"YES","NO")</f>
        <v>NO</v>
      </c>
      <c r="K48" s="1" t="n">
        <f aca="false">D48+F48-G48</f>
        <v>1397257.54212738</v>
      </c>
    </row>
    <row r="49" customFormat="false" ht="15" hidden="false" customHeight="true" outlineLevel="0" collapsed="false">
      <c r="A49" s="1" t="s">
        <v>65</v>
      </c>
      <c r="B49" s="1" t="s">
        <v>73</v>
      </c>
      <c r="C49" s="7" t="n">
        <v>45962</v>
      </c>
      <c r="D49" s="6" t="n">
        <f aca="false">I48</f>
        <v>1397257.54212738</v>
      </c>
      <c r="E49" s="1" t="n">
        <v>31</v>
      </c>
      <c r="F49" s="6" t="n">
        <f aca="false">D49*((1+01_Lease_Master!$P$6)^(E49/365)-1)</f>
        <v>10264.3271535517</v>
      </c>
      <c r="G49" s="6" t="n">
        <f aca="false">SUMIFS(02_Payment_Schedule!E:E,02_Payment_Schedule!A:A,A49,02_Payment_Schedule!D:D,C49)</f>
        <v>0</v>
      </c>
      <c r="H49" s="6" t="n">
        <f aca="false">G49-F49</f>
        <v>-10264.3271535517</v>
      </c>
      <c r="I49" s="6" t="n">
        <f aca="false">MAX(0,D49+F49-G49)</f>
        <v>1407521.86928093</v>
      </c>
      <c r="J49" s="6" t="str">
        <f aca="false">IF(G49&gt;0,"YES","NO")</f>
        <v>NO</v>
      </c>
      <c r="K49" s="1" t="n">
        <f aca="false">D49+F49-G49</f>
        <v>1407521.86928093</v>
      </c>
    </row>
    <row r="50" customFormat="false" ht="15" hidden="false" customHeight="true" outlineLevel="0" collapsed="false">
      <c r="A50" s="1" t="s">
        <v>65</v>
      </c>
      <c r="B50" s="1" t="s">
        <v>73</v>
      </c>
      <c r="C50" s="7" t="n">
        <v>45992</v>
      </c>
      <c r="D50" s="6" t="n">
        <f aca="false">I49</f>
        <v>1407521.86928093</v>
      </c>
      <c r="E50" s="1" t="n">
        <v>30</v>
      </c>
      <c r="F50" s="6" t="n">
        <f aca="false">D50*((1+01_Lease_Master!$P$6)^(E50/365)-1)</f>
        <v>10005.0071846603</v>
      </c>
      <c r="G50" s="6" t="n">
        <f aca="false">SUMIFS(02_Payment_Schedule!E:E,02_Payment_Schedule!A:A,A50,02_Payment_Schedule!D:D,C50)</f>
        <v>0</v>
      </c>
      <c r="H50" s="6" t="n">
        <f aca="false">G50-F50</f>
        <v>-10005.0071846603</v>
      </c>
      <c r="I50" s="6" t="n">
        <f aca="false">MAX(0,D50+F50-G50)</f>
        <v>1417526.87646559</v>
      </c>
      <c r="J50" s="6" t="str">
        <f aca="false">IF(G50&gt;0,"YES","NO")</f>
        <v>NO</v>
      </c>
      <c r="K50" s="1" t="n">
        <f aca="false">D50+F50-G50</f>
        <v>1417526.87646559</v>
      </c>
    </row>
    <row r="51" customFormat="false" ht="15" hidden="false" customHeight="true" outlineLevel="0" collapsed="false">
      <c r="A51" s="1" t="s">
        <v>65</v>
      </c>
      <c r="B51" s="1" t="s">
        <v>73</v>
      </c>
      <c r="C51" s="7" t="n">
        <v>46023</v>
      </c>
      <c r="D51" s="6" t="n">
        <f aca="false">I50</f>
        <v>1417526.87646559</v>
      </c>
      <c r="E51" s="1" t="n">
        <v>31</v>
      </c>
      <c r="F51" s="6" t="n">
        <f aca="false">D51*((1+01_Lease_Master!$P$6)^(E51/365)-1)</f>
        <v>10413.226746189</v>
      </c>
      <c r="G51" s="6" t="n">
        <f aca="false">SUMIFS(02_Payment_Schedule!E:E,02_Payment_Schedule!A:A,A51,02_Payment_Schedule!D:D,C51)</f>
        <v>0</v>
      </c>
      <c r="H51" s="6" t="n">
        <f aca="false">G51-F51</f>
        <v>-10413.226746189</v>
      </c>
      <c r="I51" s="6" t="n">
        <f aca="false">MAX(0,D51+F51-G51)</f>
        <v>1427940.10321178</v>
      </c>
      <c r="J51" s="6" t="str">
        <f aca="false">IF(G51&gt;0,"YES","NO")</f>
        <v>NO</v>
      </c>
      <c r="K51" s="1" t="n">
        <f aca="false">D51+F51-G51</f>
        <v>1427940.10321178</v>
      </c>
    </row>
    <row r="52" customFormat="false" ht="15" hidden="false" customHeight="true" outlineLevel="0" collapsed="false">
      <c r="A52" s="1" t="s">
        <v>65</v>
      </c>
      <c r="B52" s="1" t="s">
        <v>73</v>
      </c>
      <c r="C52" s="7" t="n">
        <v>46054</v>
      </c>
      <c r="D52" s="6" t="n">
        <f aca="false">I51</f>
        <v>1427940.10321178</v>
      </c>
      <c r="E52" s="1" t="n">
        <v>31</v>
      </c>
      <c r="F52" s="6" t="n">
        <f aca="false">D52*((1+01_Lease_Master!$P$6)^(E52/365)-1)</f>
        <v>10489.722855764</v>
      </c>
      <c r="G52" s="6" t="n">
        <f aca="false">SUMIFS(02_Payment_Schedule!E:E,02_Payment_Schedule!A:A,A52,02_Payment_Schedule!D:D,C52)</f>
        <v>0</v>
      </c>
      <c r="H52" s="6" t="n">
        <f aca="false">G52-F52</f>
        <v>-10489.722855764</v>
      </c>
      <c r="I52" s="6" t="n">
        <f aca="false">MAX(0,D52+F52-G52)</f>
        <v>1438429.82606755</v>
      </c>
      <c r="J52" s="6" t="str">
        <f aca="false">IF(G52&gt;0,"YES","NO")</f>
        <v>NO</v>
      </c>
      <c r="K52" s="1" t="n">
        <f aca="false">D52+F52-G52</f>
        <v>1438429.82606755</v>
      </c>
    </row>
    <row r="53" customFormat="false" ht="15" hidden="false" customHeight="true" outlineLevel="0" collapsed="false">
      <c r="A53" s="1" t="s">
        <v>65</v>
      </c>
      <c r="B53" s="1" t="s">
        <v>73</v>
      </c>
      <c r="C53" s="7" t="n">
        <v>46082</v>
      </c>
      <c r="D53" s="6" t="n">
        <f aca="false">I52</f>
        <v>1438429.82606755</v>
      </c>
      <c r="E53" s="1" t="n">
        <v>28</v>
      </c>
      <c r="F53" s="6" t="n">
        <f aca="false">D53*((1+01_Lease_Master!$P$6)^(E53/365)-1)</f>
        <v>9540.80576337845</v>
      </c>
      <c r="G53" s="6" t="n">
        <f aca="false">SUMIFS(02_Payment_Schedule!E:E,02_Payment_Schedule!A:A,A53,02_Payment_Schedule!D:D,C53)</f>
        <v>0</v>
      </c>
      <c r="H53" s="6" t="n">
        <f aca="false">G53-F53</f>
        <v>-9540.80576337845</v>
      </c>
      <c r="I53" s="6" t="n">
        <f aca="false">MAX(0,D53+F53-G53)</f>
        <v>1447970.63183092</v>
      </c>
      <c r="J53" s="6" t="str">
        <f aca="false">IF(G53&gt;0,"YES","NO")</f>
        <v>NO</v>
      </c>
      <c r="K53" s="1" t="n">
        <f aca="false">D53+F53-G53</f>
        <v>1447970.63183092</v>
      </c>
    </row>
    <row r="54" customFormat="false" ht="15" hidden="false" customHeight="true" outlineLevel="0" collapsed="false">
      <c r="A54" s="1" t="s">
        <v>65</v>
      </c>
      <c r="B54" s="1" t="s">
        <v>73</v>
      </c>
      <c r="C54" s="7" t="n">
        <v>46113</v>
      </c>
      <c r="D54" s="6" t="n">
        <f aca="false">I53</f>
        <v>1447970.63183092</v>
      </c>
      <c r="E54" s="1" t="n">
        <v>31</v>
      </c>
      <c r="F54" s="6" t="n">
        <f aca="false">D54*((1+01_Lease_Master!$P$6)^(E54/365)-1)</f>
        <v>10636.8681690699</v>
      </c>
      <c r="G54" s="6" t="n">
        <f aca="false">SUMIFS(02_Payment_Schedule!E:E,02_Payment_Schedule!A:A,A54,02_Payment_Schedule!D:D,C54)</f>
        <v>1458607.5</v>
      </c>
      <c r="H54" s="6" t="n">
        <f aca="false">G54-F54</f>
        <v>1447970.63183093</v>
      </c>
      <c r="I54" s="6" t="n">
        <f aca="false">MAX(0,D54+F54-G54)</f>
        <v>0</v>
      </c>
      <c r="J54" s="6" t="str">
        <f aca="false">IF(G54&gt;0,"YES","NO")</f>
        <v>YES</v>
      </c>
      <c r="K54" s="1" t="n">
        <f aca="false">D54+F54-G54</f>
        <v>-6.28642737865448E-009</v>
      </c>
    </row>
    <row r="55" customFormat="false" ht="15" hidden="false" customHeight="true" outlineLevel="0" collapsed="false">
      <c r="A55" s="1" t="s">
        <v>65</v>
      </c>
      <c r="B55" s="1" t="s">
        <v>73</v>
      </c>
      <c r="C55" s="7" t="n">
        <v>46143</v>
      </c>
      <c r="D55" s="6" t="n">
        <f aca="false">I54</f>
        <v>0</v>
      </c>
      <c r="E55" s="1" t="n">
        <v>30</v>
      </c>
      <c r="F55" s="6" t="n">
        <f aca="false">D55*((1+01_Lease_Master!$P$6)^(E55/365)-1)</f>
        <v>0</v>
      </c>
      <c r="G55" s="6" t="n">
        <f aca="false">SUMIFS(02_Payment_Schedule!E:E,02_Payment_Schedule!A:A,A55,02_Payment_Schedule!D:D,C55)</f>
        <v>0</v>
      </c>
      <c r="H55" s="6" t="n">
        <f aca="false">G55-F55</f>
        <v>0</v>
      </c>
      <c r="I55" s="6" t="n">
        <f aca="false">MAX(0,D55+F55-G55)</f>
        <v>0</v>
      </c>
      <c r="J55" s="6" t="str">
        <f aca="false">IF(G55&gt;0,"YES","NO")</f>
        <v>NO</v>
      </c>
      <c r="K55" s="1" t="n">
        <f aca="false">D55+F55-G55</f>
        <v>0</v>
      </c>
    </row>
    <row r="56" customFormat="false" ht="15" hidden="false" customHeight="true" outlineLevel="0" collapsed="false">
      <c r="A56" s="1" t="s">
        <v>65</v>
      </c>
      <c r="B56" s="1" t="s">
        <v>73</v>
      </c>
      <c r="C56" s="7" t="n">
        <v>46174</v>
      </c>
      <c r="D56" s="6" t="n">
        <f aca="false">I55</f>
        <v>0</v>
      </c>
      <c r="E56" s="1" t="n">
        <v>31</v>
      </c>
      <c r="F56" s="6" t="n">
        <f aca="false">D56*((1+01_Lease_Master!$P$6)^(E56/365)-1)</f>
        <v>0</v>
      </c>
      <c r="G56" s="6" t="n">
        <f aca="false">SUMIFS(02_Payment_Schedule!E:E,02_Payment_Schedule!A:A,A56,02_Payment_Schedule!D:D,C56)</f>
        <v>0</v>
      </c>
      <c r="H56" s="6" t="n">
        <f aca="false">G56-F56</f>
        <v>0</v>
      </c>
      <c r="I56" s="6" t="n">
        <f aca="false">MAX(0,D56+F56-G56)</f>
        <v>0</v>
      </c>
      <c r="J56" s="6" t="str">
        <f aca="false">IF(G56&gt;0,"YES","NO")</f>
        <v>NO</v>
      </c>
      <c r="K56" s="1" t="n">
        <f aca="false">D56+F56-G56</f>
        <v>0</v>
      </c>
    </row>
    <row r="57" customFormat="false" ht="15" hidden="false" customHeight="true" outlineLevel="0" collapsed="false">
      <c r="A57" s="1" t="s">
        <v>65</v>
      </c>
      <c r="B57" s="1" t="s">
        <v>73</v>
      </c>
      <c r="C57" s="7" t="n">
        <v>46204</v>
      </c>
      <c r="D57" s="6" t="n">
        <f aca="false">I56</f>
        <v>0</v>
      </c>
      <c r="E57" s="1" t="n">
        <v>30</v>
      </c>
      <c r="F57" s="6" t="n">
        <f aca="false">D57*((1+01_Lease_Master!$P$6)^(E57/365)-1)</f>
        <v>0</v>
      </c>
      <c r="G57" s="6" t="n">
        <f aca="false">SUMIFS(02_Payment_Schedule!E:E,02_Payment_Schedule!A:A,A57,02_Payment_Schedule!D:D,C57)</f>
        <v>0</v>
      </c>
      <c r="H57" s="6" t="n">
        <f aca="false">G57-F57</f>
        <v>0</v>
      </c>
      <c r="I57" s="6" t="n">
        <f aca="false">MAX(0,D57+F57-G57)</f>
        <v>0</v>
      </c>
      <c r="J57" s="6" t="str">
        <f aca="false">IF(G57&gt;0,"YES","NO")</f>
        <v>NO</v>
      </c>
      <c r="K57" s="1" t="n">
        <f aca="false">D57+F57-G57</f>
        <v>0</v>
      </c>
    </row>
    <row r="58" customFormat="false" ht="15" hidden="false" customHeight="true" outlineLevel="0" collapsed="false">
      <c r="A58" s="1" t="s">
        <v>65</v>
      </c>
      <c r="B58" s="1" t="s">
        <v>73</v>
      </c>
      <c r="C58" s="7" t="n">
        <v>46235</v>
      </c>
      <c r="D58" s="6" t="n">
        <f aca="false">I57</f>
        <v>0</v>
      </c>
      <c r="E58" s="1" t="n">
        <v>31</v>
      </c>
      <c r="F58" s="6" t="n">
        <f aca="false">D58*((1+01_Lease_Master!$P$6)^(E58/365)-1)</f>
        <v>0</v>
      </c>
      <c r="G58" s="6" t="n">
        <f aca="false">SUMIFS(02_Payment_Schedule!E:E,02_Payment_Schedule!A:A,A58,02_Payment_Schedule!D:D,C58)</f>
        <v>0</v>
      </c>
      <c r="H58" s="6" t="n">
        <f aca="false">G58-F58</f>
        <v>0</v>
      </c>
      <c r="I58" s="6" t="n">
        <f aca="false">MAX(0,D58+F58-G58)</f>
        <v>0</v>
      </c>
      <c r="J58" s="6" t="str">
        <f aca="false">IF(G58&gt;0,"YES","NO")</f>
        <v>NO</v>
      </c>
      <c r="K58" s="1" t="n">
        <f aca="false">D58+F58-G58</f>
        <v>0</v>
      </c>
    </row>
    <row r="59" customFormat="false" ht="15" hidden="false" customHeight="true" outlineLevel="0" collapsed="false">
      <c r="A59" s="1" t="s">
        <v>65</v>
      </c>
      <c r="B59" s="1" t="s">
        <v>73</v>
      </c>
      <c r="C59" s="7" t="n">
        <v>46266</v>
      </c>
      <c r="D59" s="6" t="n">
        <f aca="false">I58</f>
        <v>0</v>
      </c>
      <c r="E59" s="1" t="n">
        <v>31</v>
      </c>
      <c r="F59" s="6" t="n">
        <f aca="false">D59*((1+01_Lease_Master!$P$6)^(E59/365)-1)</f>
        <v>0</v>
      </c>
      <c r="G59" s="6" t="n">
        <f aca="false">SUMIFS(02_Payment_Schedule!E:E,02_Payment_Schedule!A:A,A59,02_Payment_Schedule!D:D,C59)</f>
        <v>0</v>
      </c>
      <c r="H59" s="6" t="n">
        <f aca="false">G59-F59</f>
        <v>0</v>
      </c>
      <c r="I59" s="6" t="n">
        <f aca="false">MAX(0,D59+F59-G59)</f>
        <v>0</v>
      </c>
      <c r="J59" s="6" t="str">
        <f aca="false">IF(G59&gt;0,"YES","NO")</f>
        <v>NO</v>
      </c>
      <c r="K59" s="1" t="n">
        <f aca="false">D59+F59-G59</f>
        <v>0</v>
      </c>
    </row>
    <row r="60" customFormat="false" ht="15" hidden="false" customHeight="true" outlineLevel="0" collapsed="false">
      <c r="A60" s="1" t="s">
        <v>65</v>
      </c>
      <c r="B60" s="1" t="s">
        <v>73</v>
      </c>
      <c r="C60" s="7" t="n">
        <v>46271</v>
      </c>
      <c r="D60" s="6" t="n">
        <f aca="false">I59</f>
        <v>0</v>
      </c>
      <c r="E60" s="1" t="n">
        <v>5</v>
      </c>
      <c r="F60" s="6" t="n">
        <f aca="false">D60*((1+01_Lease_Master!$P$6)^(E60/365)-1)</f>
        <v>0</v>
      </c>
      <c r="G60" s="6" t="n">
        <f aca="false">SUMIFS(02_Payment_Schedule!E:E,02_Payment_Schedule!A:A,A60,02_Payment_Schedule!D:D,C60)</f>
        <v>0</v>
      </c>
      <c r="H60" s="6" t="n">
        <f aca="false">G60-F60</f>
        <v>0</v>
      </c>
      <c r="I60" s="6" t="n">
        <f aca="false">MAX(0,D60+F60-G60)</f>
        <v>0</v>
      </c>
      <c r="J60" s="6" t="str">
        <f aca="false">IF(G60&gt;0,"YES","NO")</f>
        <v>NO</v>
      </c>
      <c r="K60" s="1" t="n">
        <f aca="false">D60+F60-G60</f>
        <v>0</v>
      </c>
    </row>
    <row r="61" customFormat="false" ht="15" hidden="false" customHeight="true" outlineLevel="0" collapsed="false">
      <c r="A61" s="1" t="s">
        <v>74</v>
      </c>
      <c r="B61" s="1" t="s">
        <v>73</v>
      </c>
      <c r="C61" s="7" t="n">
        <v>45292</v>
      </c>
      <c r="D61" s="6" t="n">
        <f aca="false">03_Initial_Recognition!$B$7</f>
        <v>8841059.59918211</v>
      </c>
      <c r="E61" s="1" t="n">
        <v>0</v>
      </c>
      <c r="F61" s="6" t="n">
        <f aca="false">D61*((1+01_Lease_Master!$P$7)^(E61/365)-1)</f>
        <v>0</v>
      </c>
      <c r="G61" s="6" t="n">
        <f aca="false">SUMIFS(02_Payment_Schedule!E:E,02_Payment_Schedule!A:A,A61,02_Payment_Schedule!D:D,C61)</f>
        <v>450000</v>
      </c>
      <c r="H61" s="6" t="n">
        <f aca="false">G61-F61</f>
        <v>450000</v>
      </c>
      <c r="I61" s="6" t="n">
        <f aca="false">MAX(0,D61+F61-G61)</f>
        <v>8391059.59918211</v>
      </c>
      <c r="J61" s="6" t="str">
        <f aca="false">IF(G61&gt;0,"YES","NO")</f>
        <v>YES</v>
      </c>
      <c r="K61" s="1" t="n">
        <f aca="false">D61+F61-G61</f>
        <v>8391059.59918211</v>
      </c>
    </row>
    <row r="62" customFormat="false" ht="15" hidden="false" customHeight="true" outlineLevel="0" collapsed="false">
      <c r="A62" s="1" t="s">
        <v>74</v>
      </c>
      <c r="B62" s="1" t="s">
        <v>73</v>
      </c>
      <c r="C62" s="7" t="n">
        <v>45323</v>
      </c>
      <c r="D62" s="6" t="n">
        <f aca="false">I61</f>
        <v>8391059.59918211</v>
      </c>
      <c r="E62" s="1" t="n">
        <v>31</v>
      </c>
      <c r="F62" s="6" t="n">
        <f aca="false">D62*((1+01_Lease_Master!$P$7)^(E62/365)-1)</f>
        <v>68199.9225244868</v>
      </c>
      <c r="G62" s="6" t="n">
        <f aca="false">SUMIFS(02_Payment_Schedule!E:E,02_Payment_Schedule!A:A,A62,02_Payment_Schedule!D:D,C62)</f>
        <v>0</v>
      </c>
      <c r="H62" s="6" t="n">
        <f aca="false">G62-F62</f>
        <v>-68199.9225244868</v>
      </c>
      <c r="I62" s="6" t="n">
        <f aca="false">MAX(0,D62+F62-G62)</f>
        <v>8459259.5217066</v>
      </c>
      <c r="J62" s="6" t="str">
        <f aca="false">IF(G62&gt;0,"YES","NO")</f>
        <v>NO</v>
      </c>
      <c r="K62" s="1" t="n">
        <f aca="false">D62+F62-G62</f>
        <v>8459259.5217066</v>
      </c>
    </row>
    <row r="63" customFormat="false" ht="15" hidden="false" customHeight="true" outlineLevel="0" collapsed="false">
      <c r="A63" s="1" t="s">
        <v>74</v>
      </c>
      <c r="B63" s="1" t="s">
        <v>73</v>
      </c>
      <c r="C63" s="7" t="n">
        <v>45352</v>
      </c>
      <c r="D63" s="6" t="n">
        <f aca="false">I62</f>
        <v>8459259.5217066</v>
      </c>
      <c r="E63" s="1" t="n">
        <v>29</v>
      </c>
      <c r="F63" s="6" t="n">
        <f aca="false">D63*((1+01_Lease_Master!$P$7)^(E63/365)-1)</f>
        <v>64301.6586773617</v>
      </c>
      <c r="G63" s="6" t="n">
        <f aca="false">SUMIFS(02_Payment_Schedule!E:E,02_Payment_Schedule!A:A,A63,02_Payment_Schedule!D:D,C63)</f>
        <v>0</v>
      </c>
      <c r="H63" s="6" t="n">
        <f aca="false">G63-F63</f>
        <v>-64301.6586773617</v>
      </c>
      <c r="I63" s="6" t="n">
        <f aca="false">MAX(0,D63+F63-G63)</f>
        <v>8523561.18038396</v>
      </c>
      <c r="J63" s="6" t="str">
        <f aca="false">IF(G63&gt;0,"YES","NO")</f>
        <v>NO</v>
      </c>
      <c r="K63" s="1" t="n">
        <f aca="false">D63+F63-G63</f>
        <v>8523561.18038396</v>
      </c>
    </row>
    <row r="64" customFormat="false" ht="15" hidden="false" customHeight="true" outlineLevel="0" collapsed="false">
      <c r="A64" s="1" t="s">
        <v>74</v>
      </c>
      <c r="B64" s="1" t="s">
        <v>73</v>
      </c>
      <c r="C64" s="7" t="n">
        <v>45383</v>
      </c>
      <c r="D64" s="6" t="n">
        <f aca="false">I63</f>
        <v>8523561.18038396</v>
      </c>
      <c r="E64" s="1" t="n">
        <v>31</v>
      </c>
      <c r="F64" s="6" t="n">
        <f aca="false">D64*((1+01_Lease_Master!$P$7)^(E64/365)-1)</f>
        <v>69276.8541641118</v>
      </c>
      <c r="G64" s="6" t="n">
        <f aca="false">SUMIFS(02_Payment_Schedule!E:E,02_Payment_Schedule!A:A,A64,02_Payment_Schedule!D:D,C64)</f>
        <v>450000</v>
      </c>
      <c r="H64" s="6" t="n">
        <f aca="false">G64-F64</f>
        <v>380723.145835888</v>
      </c>
      <c r="I64" s="6" t="n">
        <f aca="false">MAX(0,D64+F64-G64)</f>
        <v>8142838.03454807</v>
      </c>
      <c r="J64" s="6" t="str">
        <f aca="false">IF(G64&gt;0,"YES","NO")</f>
        <v>YES</v>
      </c>
      <c r="K64" s="1" t="n">
        <f aca="false">D64+F64-G64</f>
        <v>8142838.03454807</v>
      </c>
    </row>
    <row r="65" customFormat="false" ht="15" hidden="false" customHeight="true" outlineLevel="0" collapsed="false">
      <c r="A65" s="1" t="s">
        <v>74</v>
      </c>
      <c r="B65" s="1" t="s">
        <v>73</v>
      </c>
      <c r="C65" s="7" t="n">
        <v>45413</v>
      </c>
      <c r="D65" s="6" t="n">
        <f aca="false">I64</f>
        <v>8142838.03454807</v>
      </c>
      <c r="E65" s="1" t="n">
        <v>30</v>
      </c>
      <c r="F65" s="6" t="n">
        <f aca="false">D65*((1+01_Lease_Master!$P$7)^(E65/365)-1)</f>
        <v>64039.1642338924</v>
      </c>
      <c r="G65" s="6" t="n">
        <f aca="false">SUMIFS(02_Payment_Schedule!E:E,02_Payment_Schedule!A:A,A65,02_Payment_Schedule!D:D,C65)</f>
        <v>0</v>
      </c>
      <c r="H65" s="6" t="n">
        <f aca="false">G65-F65</f>
        <v>-64039.1642338924</v>
      </c>
      <c r="I65" s="6" t="n">
        <f aca="false">MAX(0,D65+F65-G65)</f>
        <v>8206877.19878196</v>
      </c>
      <c r="J65" s="6" t="str">
        <f aca="false">IF(G65&gt;0,"YES","NO")</f>
        <v>NO</v>
      </c>
      <c r="K65" s="1" t="n">
        <f aca="false">D65+F65-G65</f>
        <v>8206877.19878196</v>
      </c>
    </row>
    <row r="66" customFormat="false" ht="15" hidden="false" customHeight="true" outlineLevel="0" collapsed="false">
      <c r="A66" s="1" t="s">
        <v>74</v>
      </c>
      <c r="B66" s="1" t="s">
        <v>73</v>
      </c>
      <c r="C66" s="7" t="n">
        <v>45444</v>
      </c>
      <c r="D66" s="6" t="n">
        <f aca="false">I65</f>
        <v>8206877.19878196</v>
      </c>
      <c r="E66" s="1" t="n">
        <v>31</v>
      </c>
      <c r="F66" s="6" t="n">
        <f aca="false">D66*((1+01_Lease_Master!$P$7)^(E66/365)-1)</f>
        <v>66702.9452608659</v>
      </c>
      <c r="G66" s="6" t="n">
        <f aca="false">SUMIFS(02_Payment_Schedule!E:E,02_Payment_Schedule!A:A,A66,02_Payment_Schedule!D:D,C66)</f>
        <v>0</v>
      </c>
      <c r="H66" s="6" t="n">
        <f aca="false">G66-F66</f>
        <v>-66702.9452608659</v>
      </c>
      <c r="I66" s="6" t="n">
        <f aca="false">MAX(0,D66+F66-G66)</f>
        <v>8273580.14404283</v>
      </c>
      <c r="J66" s="6" t="str">
        <f aca="false">IF(G66&gt;0,"YES","NO")</f>
        <v>NO</v>
      </c>
      <c r="K66" s="1" t="n">
        <f aca="false">D66+F66-G66</f>
        <v>8273580.14404283</v>
      </c>
    </row>
    <row r="67" customFormat="false" ht="15" hidden="false" customHeight="true" outlineLevel="0" collapsed="false">
      <c r="A67" s="1" t="s">
        <v>74</v>
      </c>
      <c r="B67" s="1" t="s">
        <v>73</v>
      </c>
      <c r="C67" s="7" t="n">
        <v>45474</v>
      </c>
      <c r="D67" s="6" t="n">
        <f aca="false">I66</f>
        <v>8273580.14404283</v>
      </c>
      <c r="E67" s="1" t="n">
        <v>30</v>
      </c>
      <c r="F67" s="6" t="n">
        <f aca="false">D67*((1+01_Lease_Master!$P$7)^(E67/365)-1)</f>
        <v>65067.3825757896</v>
      </c>
      <c r="G67" s="6" t="n">
        <f aca="false">SUMIFS(02_Payment_Schedule!E:E,02_Payment_Schedule!A:A,A67,02_Payment_Schedule!D:D,C67)</f>
        <v>450000</v>
      </c>
      <c r="H67" s="6" t="n">
        <f aca="false">G67-F67</f>
        <v>384932.61742421</v>
      </c>
      <c r="I67" s="6" t="n">
        <f aca="false">MAX(0,D67+F67-G67)</f>
        <v>7888647.52661862</v>
      </c>
      <c r="J67" s="6" t="str">
        <f aca="false">IF(G67&gt;0,"YES","NO")</f>
        <v>YES</v>
      </c>
      <c r="K67" s="1" t="n">
        <f aca="false">D67+F67-G67</f>
        <v>7888647.52661862</v>
      </c>
    </row>
    <row r="68" customFormat="false" ht="15" hidden="false" customHeight="true" outlineLevel="0" collapsed="false">
      <c r="A68" s="1" t="s">
        <v>74</v>
      </c>
      <c r="B68" s="1" t="s">
        <v>73</v>
      </c>
      <c r="C68" s="7" t="n">
        <v>45505</v>
      </c>
      <c r="D68" s="6" t="n">
        <f aca="false">I67</f>
        <v>7888647.52661862</v>
      </c>
      <c r="E68" s="1" t="n">
        <v>31</v>
      </c>
      <c r="F68" s="6" t="n">
        <f aca="false">D68*((1+01_Lease_Master!$P$7)^(E68/365)-1)</f>
        <v>64116.4734654983</v>
      </c>
      <c r="G68" s="6" t="n">
        <f aca="false">SUMIFS(02_Payment_Schedule!E:E,02_Payment_Schedule!A:A,A68,02_Payment_Schedule!D:D,C68)</f>
        <v>0</v>
      </c>
      <c r="H68" s="6" t="n">
        <f aca="false">G68-F68</f>
        <v>-64116.4734654983</v>
      </c>
      <c r="I68" s="6" t="n">
        <f aca="false">MAX(0,D68+F68-G68)</f>
        <v>7952764.00008412</v>
      </c>
      <c r="J68" s="6" t="str">
        <f aca="false">IF(G68&gt;0,"YES","NO")</f>
        <v>NO</v>
      </c>
      <c r="K68" s="1" t="n">
        <f aca="false">D68+F68-G68</f>
        <v>7952764.00008412</v>
      </c>
    </row>
    <row r="69" customFormat="false" ht="15" hidden="false" customHeight="true" outlineLevel="0" collapsed="false">
      <c r="A69" s="1" t="s">
        <v>74</v>
      </c>
      <c r="B69" s="1" t="s">
        <v>73</v>
      </c>
      <c r="C69" s="7" t="n">
        <v>45536</v>
      </c>
      <c r="D69" s="6" t="n">
        <f aca="false">I68</f>
        <v>7952764.00008412</v>
      </c>
      <c r="E69" s="1" t="n">
        <v>31</v>
      </c>
      <c r="F69" s="6" t="n">
        <f aca="false">D69*((1+01_Lease_Master!$P$7)^(E69/365)-1)</f>
        <v>64637.5922194774</v>
      </c>
      <c r="G69" s="6" t="n">
        <f aca="false">SUMIFS(02_Payment_Schedule!E:E,02_Payment_Schedule!A:A,A69,02_Payment_Schedule!D:D,C69)</f>
        <v>0</v>
      </c>
      <c r="H69" s="6" t="n">
        <f aca="false">G69-F69</f>
        <v>-64637.5922194774</v>
      </c>
      <c r="I69" s="6" t="n">
        <f aca="false">MAX(0,D69+F69-G69)</f>
        <v>8017401.59230359</v>
      </c>
      <c r="J69" s="6" t="str">
        <f aca="false">IF(G69&gt;0,"YES","NO")</f>
        <v>NO</v>
      </c>
      <c r="K69" s="1" t="n">
        <f aca="false">D69+F69-G69</f>
        <v>8017401.59230359</v>
      </c>
    </row>
    <row r="70" customFormat="false" ht="15" hidden="false" customHeight="true" outlineLevel="0" collapsed="false">
      <c r="A70" s="1" t="s">
        <v>74</v>
      </c>
      <c r="B70" s="1" t="s">
        <v>73</v>
      </c>
      <c r="C70" s="7" t="n">
        <v>45566</v>
      </c>
      <c r="D70" s="6" t="n">
        <f aca="false">I69</f>
        <v>8017401.59230359</v>
      </c>
      <c r="E70" s="1" t="n">
        <v>30</v>
      </c>
      <c r="F70" s="6" t="n">
        <f aca="false">D70*((1+01_Lease_Master!$P$7)^(E70/365)-1)</f>
        <v>63052.6721912253</v>
      </c>
      <c r="G70" s="6" t="n">
        <f aca="false">SUMIFS(02_Payment_Schedule!E:E,02_Payment_Schedule!A:A,A70,02_Payment_Schedule!D:D,C70)</f>
        <v>450000</v>
      </c>
      <c r="H70" s="6" t="n">
        <f aca="false">G70-F70</f>
        <v>386947.327808775</v>
      </c>
      <c r="I70" s="6" t="n">
        <f aca="false">MAX(0,D70+F70-G70)</f>
        <v>7630454.26449482</v>
      </c>
      <c r="J70" s="6" t="str">
        <f aca="false">IF(G70&gt;0,"YES","NO")</f>
        <v>YES</v>
      </c>
      <c r="K70" s="1" t="n">
        <f aca="false">D70+F70-G70</f>
        <v>7630454.26449482</v>
      </c>
    </row>
    <row r="71" customFormat="false" ht="15" hidden="false" customHeight="true" outlineLevel="0" collapsed="false">
      <c r="A71" s="1" t="s">
        <v>74</v>
      </c>
      <c r="B71" s="1" t="s">
        <v>73</v>
      </c>
      <c r="C71" s="7" t="n">
        <v>45597</v>
      </c>
      <c r="D71" s="6" t="n">
        <f aca="false">I70</f>
        <v>7630454.26449482</v>
      </c>
      <c r="E71" s="1" t="n">
        <v>31</v>
      </c>
      <c r="F71" s="6" t="n">
        <f aca="false">D71*((1+01_Lease_Master!$P$7)^(E71/365)-1)</f>
        <v>62017.9589376187</v>
      </c>
      <c r="G71" s="6" t="n">
        <f aca="false">SUMIFS(02_Payment_Schedule!E:E,02_Payment_Schedule!A:A,A71,02_Payment_Schedule!D:D,C71)</f>
        <v>0</v>
      </c>
      <c r="H71" s="6" t="n">
        <f aca="false">G71-F71</f>
        <v>-62017.9589376187</v>
      </c>
      <c r="I71" s="6" t="n">
        <f aca="false">MAX(0,D71+F71-G71)</f>
        <v>7692472.22343244</v>
      </c>
      <c r="J71" s="6" t="str">
        <f aca="false">IF(G71&gt;0,"YES","NO")</f>
        <v>NO</v>
      </c>
      <c r="K71" s="1" t="n">
        <f aca="false">D71+F71-G71</f>
        <v>7692472.22343244</v>
      </c>
    </row>
    <row r="72" customFormat="false" ht="15" hidden="false" customHeight="true" outlineLevel="0" collapsed="false">
      <c r="A72" s="1" t="s">
        <v>74</v>
      </c>
      <c r="B72" s="1" t="s">
        <v>73</v>
      </c>
      <c r="C72" s="7" t="n">
        <v>45627</v>
      </c>
      <c r="D72" s="6" t="n">
        <f aca="false">I71</f>
        <v>7692472.22343244</v>
      </c>
      <c r="E72" s="1" t="n">
        <v>30</v>
      </c>
      <c r="F72" s="6" t="n">
        <f aca="false">D72*((1+01_Lease_Master!$P$7)^(E72/365)-1)</f>
        <v>60497.272571428</v>
      </c>
      <c r="G72" s="6" t="n">
        <f aca="false">SUMIFS(02_Payment_Schedule!E:E,02_Payment_Schedule!A:A,A72,02_Payment_Schedule!D:D,C72)</f>
        <v>0</v>
      </c>
      <c r="H72" s="6" t="n">
        <f aca="false">G72-F72</f>
        <v>-60497.272571428</v>
      </c>
      <c r="I72" s="6" t="n">
        <f aca="false">MAX(0,D72+F72-G72)</f>
        <v>7752969.49600387</v>
      </c>
      <c r="J72" s="6" t="str">
        <f aca="false">IF(G72&gt;0,"YES","NO")</f>
        <v>NO</v>
      </c>
      <c r="K72" s="1" t="n">
        <f aca="false">D72+F72-G72</f>
        <v>7752969.49600387</v>
      </c>
    </row>
    <row r="73" customFormat="false" ht="15" hidden="false" customHeight="true" outlineLevel="0" collapsed="false">
      <c r="A73" s="1" t="s">
        <v>74</v>
      </c>
      <c r="B73" s="1" t="s">
        <v>73</v>
      </c>
      <c r="C73" s="7" t="n">
        <v>45658</v>
      </c>
      <c r="D73" s="6" t="n">
        <f aca="false">I72</f>
        <v>7752969.49600387</v>
      </c>
      <c r="E73" s="1" t="n">
        <v>31</v>
      </c>
      <c r="F73" s="6" t="n">
        <f aca="false">D73*((1+01_Lease_Master!$P$7)^(E73/365)-1)</f>
        <v>63013.7246330263</v>
      </c>
      <c r="G73" s="6" t="n">
        <f aca="false">SUMIFS(02_Payment_Schedule!E:E,02_Payment_Schedule!A:A,A73,02_Payment_Schedule!D:D,C73)</f>
        <v>475000</v>
      </c>
      <c r="H73" s="6" t="n">
        <f aca="false">G73-F73</f>
        <v>411986.275366974</v>
      </c>
      <c r="I73" s="6" t="n">
        <f aca="false">MAX(0,D73+F73-G73)</f>
        <v>7340983.22063689</v>
      </c>
      <c r="J73" s="6" t="str">
        <f aca="false">IF(G73&gt;0,"YES","NO")</f>
        <v>YES</v>
      </c>
      <c r="K73" s="1" t="n">
        <f aca="false">D73+F73-G73</f>
        <v>7340983.22063689</v>
      </c>
    </row>
    <row r="74" customFormat="false" ht="15" hidden="false" customHeight="true" outlineLevel="0" collapsed="false">
      <c r="A74" s="1" t="s">
        <v>74</v>
      </c>
      <c r="B74" s="1" t="s">
        <v>73</v>
      </c>
      <c r="C74" s="7" t="n">
        <v>45689</v>
      </c>
      <c r="D74" s="6" t="n">
        <f aca="false">I73</f>
        <v>7340983.22063689</v>
      </c>
      <c r="E74" s="1" t="n">
        <v>31</v>
      </c>
      <c r="F74" s="6" t="n">
        <f aca="false">D74*((1+01_Lease_Master!$P$7)^(E74/365)-1)</f>
        <v>59665.2283282309</v>
      </c>
      <c r="G74" s="6" t="n">
        <f aca="false">SUMIFS(02_Payment_Schedule!E:E,02_Payment_Schedule!A:A,A74,02_Payment_Schedule!D:D,C74)</f>
        <v>0</v>
      </c>
      <c r="H74" s="6" t="n">
        <f aca="false">G74-F74</f>
        <v>-59665.2283282309</v>
      </c>
      <c r="I74" s="6" t="n">
        <f aca="false">MAX(0,D74+F74-G74)</f>
        <v>7400648.44896512</v>
      </c>
      <c r="J74" s="6" t="str">
        <f aca="false">IF(G74&gt;0,"YES","NO")</f>
        <v>NO</v>
      </c>
      <c r="K74" s="1" t="n">
        <f aca="false">D74+F74-G74</f>
        <v>7400648.44896512</v>
      </c>
    </row>
    <row r="75" customFormat="false" ht="15" hidden="false" customHeight="true" outlineLevel="0" collapsed="false">
      <c r="A75" s="1" t="s">
        <v>74</v>
      </c>
      <c r="B75" s="1" t="s">
        <v>73</v>
      </c>
      <c r="C75" s="7" t="n">
        <v>45717</v>
      </c>
      <c r="D75" s="6" t="n">
        <f aca="false">I74</f>
        <v>7400648.44896512</v>
      </c>
      <c r="E75" s="1" t="n">
        <v>28</v>
      </c>
      <c r="F75" s="6" t="n">
        <f aca="false">D75*((1+01_Lease_Master!$P$7)^(E75/365)-1)</f>
        <v>54307.8815681349</v>
      </c>
      <c r="G75" s="6" t="n">
        <f aca="false">SUMIFS(02_Payment_Schedule!E:E,02_Payment_Schedule!A:A,A75,02_Payment_Schedule!D:D,C75)</f>
        <v>0</v>
      </c>
      <c r="H75" s="6" t="n">
        <f aca="false">G75-F75</f>
        <v>-54307.8815681349</v>
      </c>
      <c r="I75" s="6" t="n">
        <f aca="false">MAX(0,D75+F75-G75)</f>
        <v>7454956.33053326</v>
      </c>
      <c r="J75" s="6" t="str">
        <f aca="false">IF(G75&gt;0,"YES","NO")</f>
        <v>NO</v>
      </c>
      <c r="K75" s="1" t="n">
        <f aca="false">D75+F75-G75</f>
        <v>7454956.33053326</v>
      </c>
    </row>
    <row r="76" customFormat="false" ht="15" hidden="false" customHeight="true" outlineLevel="0" collapsed="false">
      <c r="A76" s="1" t="s">
        <v>74</v>
      </c>
      <c r="B76" s="1" t="s">
        <v>73</v>
      </c>
      <c r="C76" s="7" t="n">
        <v>45748</v>
      </c>
      <c r="D76" s="6" t="n">
        <f aca="false">I75</f>
        <v>7454956.33053326</v>
      </c>
      <c r="E76" s="1" t="n">
        <v>31</v>
      </c>
      <c r="F76" s="6" t="n">
        <f aca="false">D76*((1+01_Lease_Master!$P$7)^(E76/365)-1)</f>
        <v>60591.5663160536</v>
      </c>
      <c r="G76" s="6" t="n">
        <f aca="false">SUMIFS(02_Payment_Schedule!E:E,02_Payment_Schedule!A:A,A76,02_Payment_Schedule!D:D,C76)</f>
        <v>475000</v>
      </c>
      <c r="H76" s="6" t="n">
        <f aca="false">G76-F76</f>
        <v>414408.433683946</v>
      </c>
      <c r="I76" s="6" t="n">
        <f aca="false">MAX(0,D76+F76-G76)</f>
        <v>7040547.89684931</v>
      </c>
      <c r="J76" s="6" t="str">
        <f aca="false">IF(G76&gt;0,"YES","NO")</f>
        <v>YES</v>
      </c>
      <c r="K76" s="1" t="n">
        <f aca="false">D76+F76-G76</f>
        <v>7040547.89684931</v>
      </c>
    </row>
    <row r="77" customFormat="false" ht="15" hidden="false" customHeight="true" outlineLevel="0" collapsed="false">
      <c r="A77" s="1" t="s">
        <v>74</v>
      </c>
      <c r="B77" s="1" t="s">
        <v>73</v>
      </c>
      <c r="C77" s="7" t="n">
        <v>45778</v>
      </c>
      <c r="D77" s="6" t="n">
        <f aca="false">I76</f>
        <v>7040547.89684931</v>
      </c>
      <c r="E77" s="1" t="n">
        <v>30</v>
      </c>
      <c r="F77" s="6" t="n">
        <f aca="false">D77*((1+01_Lease_Master!$P$7)^(E77/365)-1)</f>
        <v>55370.2285554477</v>
      </c>
      <c r="G77" s="6" t="n">
        <f aca="false">SUMIFS(02_Payment_Schedule!E:E,02_Payment_Schedule!A:A,A77,02_Payment_Schedule!D:D,C77)</f>
        <v>0</v>
      </c>
      <c r="H77" s="6" t="n">
        <f aca="false">G77-F77</f>
        <v>-55370.2285554477</v>
      </c>
      <c r="I77" s="6" t="n">
        <f aca="false">MAX(0,D77+F77-G77)</f>
        <v>7095918.12540476</v>
      </c>
      <c r="J77" s="6" t="str">
        <f aca="false">IF(G77&gt;0,"YES","NO")</f>
        <v>NO</v>
      </c>
      <c r="K77" s="1" t="n">
        <f aca="false">D77+F77-G77</f>
        <v>7095918.12540476</v>
      </c>
    </row>
    <row r="78" customFormat="false" ht="15" hidden="false" customHeight="true" outlineLevel="0" collapsed="false">
      <c r="A78" s="1" t="s">
        <v>74</v>
      </c>
      <c r="B78" s="1" t="s">
        <v>73</v>
      </c>
      <c r="C78" s="7" t="n">
        <v>45809</v>
      </c>
      <c r="D78" s="6" t="n">
        <f aca="false">I77</f>
        <v>7095918.12540476</v>
      </c>
      <c r="E78" s="1" t="n">
        <v>31</v>
      </c>
      <c r="F78" s="6" t="n">
        <f aca="false">D78*((1+01_Lease_Master!$P$7)^(E78/365)-1)</f>
        <v>57673.4154575516</v>
      </c>
      <c r="G78" s="6" t="n">
        <f aca="false">SUMIFS(02_Payment_Schedule!E:E,02_Payment_Schedule!A:A,A78,02_Payment_Schedule!D:D,C78)</f>
        <v>0</v>
      </c>
      <c r="H78" s="6" t="n">
        <f aca="false">G78-F78</f>
        <v>-57673.4154575516</v>
      </c>
      <c r="I78" s="6" t="n">
        <f aca="false">MAX(0,D78+F78-G78)</f>
        <v>7153591.54086231</v>
      </c>
      <c r="J78" s="6" t="str">
        <f aca="false">IF(G78&gt;0,"YES","NO")</f>
        <v>NO</v>
      </c>
      <c r="K78" s="1" t="n">
        <f aca="false">D78+F78-G78</f>
        <v>7153591.54086231</v>
      </c>
    </row>
    <row r="79" customFormat="false" ht="15" hidden="false" customHeight="true" outlineLevel="0" collapsed="false">
      <c r="A79" s="1" t="s">
        <v>74</v>
      </c>
      <c r="B79" s="1" t="s">
        <v>73</v>
      </c>
      <c r="C79" s="7" t="n">
        <v>45839</v>
      </c>
      <c r="D79" s="6" t="n">
        <f aca="false">I78</f>
        <v>7153591.54086231</v>
      </c>
      <c r="E79" s="1" t="n">
        <v>30</v>
      </c>
      <c r="F79" s="6" t="n">
        <f aca="false">D79*((1+01_Lease_Master!$P$7)^(E79/365)-1)</f>
        <v>56259.2577187236</v>
      </c>
      <c r="G79" s="6" t="n">
        <f aca="false">SUMIFS(02_Payment_Schedule!E:E,02_Payment_Schedule!A:A,A79,02_Payment_Schedule!D:D,C79)</f>
        <v>475000</v>
      </c>
      <c r="H79" s="6" t="n">
        <f aca="false">G79-F79</f>
        <v>418740.742281276</v>
      </c>
      <c r="I79" s="6" t="n">
        <f aca="false">MAX(0,D79+F79-G79)</f>
        <v>6734850.79858103</v>
      </c>
      <c r="J79" s="6" t="str">
        <f aca="false">IF(G79&gt;0,"YES","NO")</f>
        <v>YES</v>
      </c>
      <c r="K79" s="1" t="n">
        <f aca="false">D79+F79-G79</f>
        <v>6734850.79858103</v>
      </c>
    </row>
    <row r="80" customFormat="false" ht="15" hidden="false" customHeight="true" outlineLevel="0" collapsed="false">
      <c r="A80" s="1" t="s">
        <v>74</v>
      </c>
      <c r="B80" s="1" t="s">
        <v>73</v>
      </c>
      <c r="C80" s="7" t="n">
        <v>45870</v>
      </c>
      <c r="D80" s="6" t="n">
        <f aca="false">I79</f>
        <v>6734850.79858103</v>
      </c>
      <c r="E80" s="1" t="n">
        <v>31</v>
      </c>
      <c r="F80" s="6" t="n">
        <f aca="false">D80*((1+01_Lease_Master!$P$7)^(E80/365)-1)</f>
        <v>54738.772529035</v>
      </c>
      <c r="G80" s="6" t="n">
        <f aca="false">SUMIFS(02_Payment_Schedule!E:E,02_Payment_Schedule!A:A,A80,02_Payment_Schedule!D:D,C80)</f>
        <v>0</v>
      </c>
      <c r="H80" s="6" t="n">
        <f aca="false">G80-F80</f>
        <v>-54738.772529035</v>
      </c>
      <c r="I80" s="6" t="n">
        <f aca="false">MAX(0,D80+F80-G80)</f>
        <v>6789589.57111007</v>
      </c>
      <c r="J80" s="6" t="str">
        <f aca="false">IF(G80&gt;0,"YES","NO")</f>
        <v>NO</v>
      </c>
      <c r="K80" s="1" t="n">
        <f aca="false">D80+F80-G80</f>
        <v>6789589.57111007</v>
      </c>
    </row>
    <row r="81" customFormat="false" ht="15" hidden="false" customHeight="true" outlineLevel="0" collapsed="false">
      <c r="A81" s="1" t="s">
        <v>74</v>
      </c>
      <c r="B81" s="1" t="s">
        <v>73</v>
      </c>
      <c r="C81" s="7" t="n">
        <v>45901</v>
      </c>
      <c r="D81" s="6" t="n">
        <f aca="false">I80</f>
        <v>6789589.57111007</v>
      </c>
      <c r="E81" s="1" t="n">
        <v>31</v>
      </c>
      <c r="F81" s="6" t="n">
        <f aca="false">D81*((1+01_Lease_Master!$P$7)^(E81/365)-1)</f>
        <v>55183.6722465783</v>
      </c>
      <c r="G81" s="6" t="n">
        <f aca="false">SUMIFS(02_Payment_Schedule!E:E,02_Payment_Schedule!A:A,A81,02_Payment_Schedule!D:D,C81)</f>
        <v>0</v>
      </c>
      <c r="H81" s="6" t="n">
        <f aca="false">G81-F81</f>
        <v>-55183.6722465783</v>
      </c>
      <c r="I81" s="6" t="n">
        <f aca="false">MAX(0,D81+F81-G81)</f>
        <v>6844773.24335665</v>
      </c>
      <c r="J81" s="6" t="str">
        <f aca="false">IF(G81&gt;0,"YES","NO")</f>
        <v>NO</v>
      </c>
      <c r="K81" s="1" t="n">
        <f aca="false">D81+F81-G81</f>
        <v>6844773.24335665</v>
      </c>
    </row>
    <row r="82" customFormat="false" ht="15" hidden="false" customHeight="true" outlineLevel="0" collapsed="false">
      <c r="A82" s="1" t="s">
        <v>74</v>
      </c>
      <c r="B82" s="1" t="s">
        <v>73</v>
      </c>
      <c r="C82" s="7" t="n">
        <v>45931</v>
      </c>
      <c r="D82" s="6" t="n">
        <f aca="false">I81</f>
        <v>6844773.24335665</v>
      </c>
      <c r="E82" s="1" t="n">
        <v>30</v>
      </c>
      <c r="F82" s="6" t="n">
        <f aca="false">D82*((1+01_Lease_Master!$P$7)^(E82/365)-1)</f>
        <v>53830.56325268</v>
      </c>
      <c r="G82" s="6" t="n">
        <f aca="false">SUMIFS(02_Payment_Schedule!E:E,02_Payment_Schedule!A:A,A82,02_Payment_Schedule!D:D,C82)</f>
        <v>475000</v>
      </c>
      <c r="H82" s="6" t="n">
        <f aca="false">G82-F82</f>
        <v>421169.43674732</v>
      </c>
      <c r="I82" s="6" t="n">
        <f aca="false">MAX(0,D82+F82-G82)</f>
        <v>6423603.80660933</v>
      </c>
      <c r="J82" s="6" t="str">
        <f aca="false">IF(G82&gt;0,"YES","NO")</f>
        <v>YES</v>
      </c>
      <c r="K82" s="1" t="n">
        <f aca="false">D82+F82-G82</f>
        <v>6423603.80660933</v>
      </c>
    </row>
    <row r="83" customFormat="false" ht="15" hidden="false" customHeight="true" outlineLevel="0" collapsed="false">
      <c r="A83" s="1" t="s">
        <v>74</v>
      </c>
      <c r="B83" s="1" t="s">
        <v>73</v>
      </c>
      <c r="C83" s="7" t="n">
        <v>45962</v>
      </c>
      <c r="D83" s="6" t="n">
        <f aca="false">I82</f>
        <v>6423603.80660933</v>
      </c>
      <c r="E83" s="1" t="n">
        <v>31</v>
      </c>
      <c r="F83" s="6" t="n">
        <f aca="false">D83*((1+01_Lease_Master!$P$7)^(E83/365)-1)</f>
        <v>52209.05378642</v>
      </c>
      <c r="G83" s="6" t="n">
        <f aca="false">SUMIFS(02_Payment_Schedule!E:E,02_Payment_Schedule!A:A,A83,02_Payment_Schedule!D:D,C83)</f>
        <v>0</v>
      </c>
      <c r="H83" s="6" t="n">
        <f aca="false">G83-F83</f>
        <v>-52209.05378642</v>
      </c>
      <c r="I83" s="6" t="n">
        <f aca="false">MAX(0,D83+F83-G83)</f>
        <v>6475812.86039575</v>
      </c>
      <c r="J83" s="6" t="str">
        <f aca="false">IF(G83&gt;0,"YES","NO")</f>
        <v>NO</v>
      </c>
      <c r="K83" s="1" t="n">
        <f aca="false">D83+F83-G83</f>
        <v>6475812.86039575</v>
      </c>
    </row>
    <row r="84" customFormat="false" ht="15" hidden="false" customHeight="true" outlineLevel="0" collapsed="false">
      <c r="A84" s="1" t="s">
        <v>74</v>
      </c>
      <c r="B84" s="1" t="s">
        <v>73</v>
      </c>
      <c r="C84" s="7" t="n">
        <v>45992</v>
      </c>
      <c r="D84" s="6" t="n">
        <f aca="false">I83</f>
        <v>6475812.86039575</v>
      </c>
      <c r="E84" s="1" t="n">
        <v>30</v>
      </c>
      <c r="F84" s="6" t="n">
        <f aca="false">D84*((1+01_Lease_Master!$P$7)^(E84/365)-1)</f>
        <v>50928.8827255732</v>
      </c>
      <c r="G84" s="6" t="n">
        <f aca="false">SUMIFS(02_Payment_Schedule!E:E,02_Payment_Schedule!A:A,A84,02_Payment_Schedule!D:D,C84)</f>
        <v>0</v>
      </c>
      <c r="H84" s="6" t="n">
        <f aca="false">G84-F84</f>
        <v>-50928.8827255732</v>
      </c>
      <c r="I84" s="6" t="n">
        <f aca="false">MAX(0,D84+F84-G84)</f>
        <v>6526741.74312132</v>
      </c>
      <c r="J84" s="6" t="str">
        <f aca="false">IF(G84&gt;0,"YES","NO")</f>
        <v>NO</v>
      </c>
      <c r="K84" s="1" t="n">
        <f aca="false">D84+F84-G84</f>
        <v>6526741.74312132</v>
      </c>
    </row>
    <row r="85" customFormat="false" ht="15" hidden="false" customHeight="true" outlineLevel="0" collapsed="false">
      <c r="A85" s="1" t="s">
        <v>74</v>
      </c>
      <c r="B85" s="1" t="s">
        <v>73</v>
      </c>
      <c r="C85" s="7" t="n">
        <v>46023</v>
      </c>
      <c r="D85" s="6" t="n">
        <f aca="false">I84</f>
        <v>6526741.74312132</v>
      </c>
      <c r="E85" s="1" t="n">
        <v>31</v>
      </c>
      <c r="F85" s="6" t="n">
        <f aca="false">D85*((1+01_Lease_Master!$P$7)^(E85/365)-1)</f>
        <v>53047.3268550726</v>
      </c>
      <c r="G85" s="6" t="n">
        <f aca="false">SUMIFS(02_Payment_Schedule!E:E,02_Payment_Schedule!A:A,A85,02_Payment_Schedule!D:D,C85)</f>
        <v>500000</v>
      </c>
      <c r="H85" s="6" t="n">
        <f aca="false">G85-F85</f>
        <v>446952.673144927</v>
      </c>
      <c r="I85" s="6" t="n">
        <f aca="false">MAX(0,D85+F85-G85)</f>
        <v>6079789.06997639</v>
      </c>
      <c r="J85" s="6" t="str">
        <f aca="false">IF(G85&gt;0,"YES","NO")</f>
        <v>YES</v>
      </c>
      <c r="K85" s="1" t="n">
        <f aca="false">D85+F85-G85</f>
        <v>6079789.06997639</v>
      </c>
    </row>
    <row r="86" customFormat="false" ht="15" hidden="false" customHeight="true" outlineLevel="0" collapsed="false">
      <c r="A86" s="1" t="s">
        <v>74</v>
      </c>
      <c r="B86" s="1" t="s">
        <v>73</v>
      </c>
      <c r="C86" s="7" t="n">
        <v>46054</v>
      </c>
      <c r="D86" s="6" t="n">
        <f aca="false">I85</f>
        <v>6079789.06997639</v>
      </c>
      <c r="E86" s="1" t="n">
        <v>31</v>
      </c>
      <c r="F86" s="6" t="n">
        <f aca="false">D86*((1+01_Lease_Master!$P$7)^(E86/365)-1)</f>
        <v>49414.6345448467</v>
      </c>
      <c r="G86" s="6" t="n">
        <f aca="false">SUMIFS(02_Payment_Schedule!E:E,02_Payment_Schedule!A:A,A86,02_Payment_Schedule!D:D,C86)</f>
        <v>0</v>
      </c>
      <c r="H86" s="6" t="n">
        <f aca="false">G86-F86</f>
        <v>-49414.6345448467</v>
      </c>
      <c r="I86" s="6" t="n">
        <f aca="false">MAX(0,D86+F86-G86)</f>
        <v>6129203.70452124</v>
      </c>
      <c r="J86" s="6" t="str">
        <f aca="false">IF(G86&gt;0,"YES","NO")</f>
        <v>NO</v>
      </c>
      <c r="K86" s="1" t="n">
        <f aca="false">D86+F86-G86</f>
        <v>6129203.70452124</v>
      </c>
    </row>
    <row r="87" customFormat="false" ht="15" hidden="false" customHeight="true" outlineLevel="0" collapsed="false">
      <c r="A87" s="1" t="s">
        <v>74</v>
      </c>
      <c r="B87" s="1" t="s">
        <v>73</v>
      </c>
      <c r="C87" s="7" t="n">
        <v>46082</v>
      </c>
      <c r="D87" s="6" t="n">
        <f aca="false">I86</f>
        <v>6129203.70452124</v>
      </c>
      <c r="E87" s="1" t="n">
        <v>28</v>
      </c>
      <c r="F87" s="6" t="n">
        <f aca="false">D87*((1+01_Lease_Master!$P$7)^(E87/365)-1)</f>
        <v>44977.6896156525</v>
      </c>
      <c r="G87" s="6" t="n">
        <f aca="false">SUMIFS(02_Payment_Schedule!E:E,02_Payment_Schedule!A:A,A87,02_Payment_Schedule!D:D,C87)</f>
        <v>0</v>
      </c>
      <c r="H87" s="6" t="n">
        <f aca="false">G87-F87</f>
        <v>-44977.6896156525</v>
      </c>
      <c r="I87" s="6" t="n">
        <f aca="false">MAX(0,D87+F87-G87)</f>
        <v>6174181.39413689</v>
      </c>
      <c r="J87" s="6" t="str">
        <f aca="false">IF(G87&gt;0,"YES","NO")</f>
        <v>NO</v>
      </c>
      <c r="K87" s="1" t="n">
        <f aca="false">D87+F87-G87</f>
        <v>6174181.39413689</v>
      </c>
    </row>
    <row r="88" customFormat="false" ht="15" hidden="false" customHeight="true" outlineLevel="0" collapsed="false">
      <c r="A88" s="1" t="s">
        <v>74</v>
      </c>
      <c r="B88" s="1" t="s">
        <v>73</v>
      </c>
      <c r="C88" s="7" t="n">
        <v>46113</v>
      </c>
      <c r="D88" s="6" t="n">
        <f aca="false">I87</f>
        <v>6174181.39413689</v>
      </c>
      <c r="E88" s="1" t="n">
        <v>31</v>
      </c>
      <c r="F88" s="6" t="n">
        <f aca="false">D88*((1+01_Lease_Master!$P$7)^(E88/365)-1)</f>
        <v>50181.8259964817</v>
      </c>
      <c r="G88" s="6" t="n">
        <f aca="false">SUMIFS(02_Payment_Schedule!E:E,02_Payment_Schedule!A:A,A88,02_Payment_Schedule!D:D,C88)</f>
        <v>500000</v>
      </c>
      <c r="H88" s="6" t="n">
        <f aca="false">G88-F88</f>
        <v>449818.174003518</v>
      </c>
      <c r="I88" s="6" t="n">
        <f aca="false">MAX(0,D88+F88-G88)</f>
        <v>5724363.22013337</v>
      </c>
      <c r="J88" s="6" t="str">
        <f aca="false">IF(G88&gt;0,"YES","NO")</f>
        <v>YES</v>
      </c>
      <c r="K88" s="1" t="n">
        <f aca="false">D88+F88-G88</f>
        <v>5724363.22013337</v>
      </c>
    </row>
    <row r="89" customFormat="false" ht="15" hidden="false" customHeight="true" outlineLevel="0" collapsed="false">
      <c r="A89" s="1" t="s">
        <v>74</v>
      </c>
      <c r="B89" s="1" t="s">
        <v>73</v>
      </c>
      <c r="C89" s="7" t="n">
        <v>46143</v>
      </c>
      <c r="D89" s="6" t="n">
        <f aca="false">I88</f>
        <v>5724363.22013337</v>
      </c>
      <c r="E89" s="1" t="n">
        <v>30</v>
      </c>
      <c r="F89" s="6" t="n">
        <f aca="false">D89*((1+01_Lease_Master!$P$7)^(E89/365)-1)</f>
        <v>45019.1241472875</v>
      </c>
      <c r="G89" s="6" t="n">
        <f aca="false">SUMIFS(02_Payment_Schedule!E:E,02_Payment_Schedule!A:A,A89,02_Payment_Schedule!D:D,C89)</f>
        <v>0</v>
      </c>
      <c r="H89" s="6" t="n">
        <f aca="false">G89-F89</f>
        <v>-45019.1241472875</v>
      </c>
      <c r="I89" s="6" t="n">
        <f aca="false">MAX(0,D89+F89-G89)</f>
        <v>5769382.34428066</v>
      </c>
      <c r="J89" s="6" t="str">
        <f aca="false">IF(G89&gt;0,"YES","NO")</f>
        <v>NO</v>
      </c>
      <c r="K89" s="1" t="n">
        <f aca="false">D89+F89-G89</f>
        <v>5769382.34428066</v>
      </c>
    </row>
    <row r="90" customFormat="false" ht="15" hidden="false" customHeight="true" outlineLevel="0" collapsed="false">
      <c r="A90" s="1" t="s">
        <v>74</v>
      </c>
      <c r="B90" s="1" t="s">
        <v>73</v>
      </c>
      <c r="C90" s="7" t="n">
        <v>46174</v>
      </c>
      <c r="D90" s="6" t="n">
        <f aca="false">I89</f>
        <v>5769382.34428066</v>
      </c>
      <c r="E90" s="1" t="n">
        <v>31</v>
      </c>
      <c r="F90" s="6" t="n">
        <f aca="false">D90*((1+01_Lease_Master!$P$7)^(E90/365)-1)</f>
        <v>46891.7452251722</v>
      </c>
      <c r="G90" s="6" t="n">
        <f aca="false">SUMIFS(02_Payment_Schedule!E:E,02_Payment_Schedule!A:A,A90,02_Payment_Schedule!D:D,C90)</f>
        <v>0</v>
      </c>
      <c r="H90" s="6" t="n">
        <f aca="false">G90-F90</f>
        <v>-46891.7452251722</v>
      </c>
      <c r="I90" s="6" t="n">
        <f aca="false">MAX(0,D90+F90-G90)</f>
        <v>5816274.08950583</v>
      </c>
      <c r="J90" s="6" t="str">
        <f aca="false">IF(G90&gt;0,"YES","NO")</f>
        <v>NO</v>
      </c>
      <c r="K90" s="1" t="n">
        <f aca="false">D90+F90-G90</f>
        <v>5816274.08950583</v>
      </c>
    </row>
    <row r="91" customFormat="false" ht="15" hidden="false" customHeight="true" outlineLevel="0" collapsed="false">
      <c r="A91" s="1" t="s">
        <v>74</v>
      </c>
      <c r="B91" s="1" t="s">
        <v>73</v>
      </c>
      <c r="C91" s="7" t="n">
        <v>46204</v>
      </c>
      <c r="D91" s="6" t="n">
        <f aca="false">I90</f>
        <v>5816274.08950583</v>
      </c>
      <c r="E91" s="1" t="n">
        <v>30</v>
      </c>
      <c r="F91" s="6" t="n">
        <f aca="false">D91*((1+01_Lease_Master!$P$7)^(E91/365)-1)</f>
        <v>45741.9550857945</v>
      </c>
      <c r="G91" s="6" t="n">
        <f aca="false">SUMIFS(02_Payment_Schedule!E:E,02_Payment_Schedule!A:A,A91,02_Payment_Schedule!D:D,C91)</f>
        <v>500000</v>
      </c>
      <c r="H91" s="6" t="n">
        <f aca="false">G91-F91</f>
        <v>454258.044914206</v>
      </c>
      <c r="I91" s="6" t="n">
        <f aca="false">MAX(0,D91+F91-G91)</f>
        <v>5362016.04459163</v>
      </c>
      <c r="J91" s="6" t="str">
        <f aca="false">IF(G91&gt;0,"YES","NO")</f>
        <v>YES</v>
      </c>
      <c r="K91" s="1" t="n">
        <f aca="false">D91+F91-G91</f>
        <v>5362016.04459163</v>
      </c>
    </row>
    <row r="92" customFormat="false" ht="15" hidden="false" customHeight="true" outlineLevel="0" collapsed="false">
      <c r="A92" s="1" t="s">
        <v>74</v>
      </c>
      <c r="B92" s="1" t="s">
        <v>73</v>
      </c>
      <c r="C92" s="7" t="n">
        <v>46235</v>
      </c>
      <c r="D92" s="6" t="n">
        <f aca="false">I91</f>
        <v>5362016.04459163</v>
      </c>
      <c r="E92" s="1" t="n">
        <v>31</v>
      </c>
      <c r="F92" s="6" t="n">
        <f aca="false">D92*((1+01_Lease_Master!$P$7)^(E92/365)-1)</f>
        <v>43580.7986457215</v>
      </c>
      <c r="G92" s="6" t="n">
        <f aca="false">SUMIFS(02_Payment_Schedule!E:E,02_Payment_Schedule!A:A,A92,02_Payment_Schedule!D:D,C92)</f>
        <v>0</v>
      </c>
      <c r="H92" s="6" t="n">
        <f aca="false">G92-F92</f>
        <v>-43580.7986457215</v>
      </c>
      <c r="I92" s="6" t="n">
        <f aca="false">MAX(0,D92+F92-G92)</f>
        <v>5405596.84323735</v>
      </c>
      <c r="J92" s="6" t="str">
        <f aca="false">IF(G92&gt;0,"YES","NO")</f>
        <v>NO</v>
      </c>
      <c r="K92" s="1" t="n">
        <f aca="false">D92+F92-G92</f>
        <v>5405596.84323735</v>
      </c>
    </row>
    <row r="93" customFormat="false" ht="15" hidden="false" customHeight="true" outlineLevel="0" collapsed="false">
      <c r="A93" s="1" t="s">
        <v>74</v>
      </c>
      <c r="B93" s="1" t="s">
        <v>73</v>
      </c>
      <c r="C93" s="7" t="n">
        <v>46266</v>
      </c>
      <c r="D93" s="6" t="n">
        <f aca="false">I92</f>
        <v>5405596.84323735</v>
      </c>
      <c r="E93" s="1" t="n">
        <v>31</v>
      </c>
      <c r="F93" s="6" t="n">
        <f aca="false">D93*((1+01_Lease_Master!$P$7)^(E93/365)-1)</f>
        <v>43935.0098220411</v>
      </c>
      <c r="G93" s="6" t="n">
        <f aca="false">SUMIFS(02_Payment_Schedule!E:E,02_Payment_Schedule!A:A,A93,02_Payment_Schedule!D:D,C93)</f>
        <v>0</v>
      </c>
      <c r="H93" s="6" t="n">
        <f aca="false">G93-F93</f>
        <v>-43935.0098220411</v>
      </c>
      <c r="I93" s="6" t="n">
        <f aca="false">MAX(0,D93+F93-G93)</f>
        <v>5449531.85305939</v>
      </c>
      <c r="J93" s="6" t="str">
        <f aca="false">IF(G93&gt;0,"YES","NO")</f>
        <v>NO</v>
      </c>
      <c r="K93" s="1" t="n">
        <f aca="false">D93+F93-G93</f>
        <v>5449531.85305939</v>
      </c>
    </row>
    <row r="94" customFormat="false" ht="15" hidden="false" customHeight="true" outlineLevel="0" collapsed="false">
      <c r="A94" s="1" t="s">
        <v>74</v>
      </c>
      <c r="B94" s="1" t="s">
        <v>73</v>
      </c>
      <c r="C94" s="7" t="n">
        <v>46271</v>
      </c>
      <c r="D94" s="6" t="n">
        <f aca="false">I93</f>
        <v>5449531.85305939</v>
      </c>
      <c r="E94" s="1" t="n">
        <v>5</v>
      </c>
      <c r="F94" s="6" t="n">
        <f aca="false">D94*((1+01_Lease_Master!$P$7)^(E94/365)-1)</f>
        <v>7119.65856031653</v>
      </c>
      <c r="G94" s="6" t="n">
        <f aca="false">SUMIFS(02_Payment_Schedule!E:E,02_Payment_Schedule!A:A,A94,02_Payment_Schedule!D:D,C94)</f>
        <v>0</v>
      </c>
      <c r="H94" s="6" t="n">
        <f aca="false">G94-F94</f>
        <v>-7119.65856031653</v>
      </c>
      <c r="I94" s="6" t="n">
        <f aca="false">MAX(0,D94+F94-G94)</f>
        <v>5456651.51161971</v>
      </c>
      <c r="J94" s="6" t="str">
        <f aca="false">IF(G94&gt;0,"YES","NO")</f>
        <v>NO</v>
      </c>
      <c r="K94" s="1" t="n">
        <f aca="false">D94+F94-G94</f>
        <v>5456651.51161971</v>
      </c>
    </row>
    <row r="95" customFormat="false" ht="15" hidden="false" customHeight="true" outlineLevel="0" collapsed="false">
      <c r="A95" s="1" t="s">
        <v>80</v>
      </c>
      <c r="B95" s="1" t="s">
        <v>73</v>
      </c>
      <c r="C95" s="7" t="n">
        <v>46113</v>
      </c>
      <c r="D95" s="6" t="n">
        <f aca="false">03_Initial_Recognition!$B$8</f>
        <v>784264.975377529</v>
      </c>
      <c r="E95" s="1" t="n">
        <v>0</v>
      </c>
      <c r="F95" s="6" t="n">
        <f aca="false">D95*((1+01_Lease_Master!$P$8)^(E95/365)-1)</f>
        <v>0</v>
      </c>
      <c r="G95" s="6" t="n">
        <f aca="false">SUMIFS(02_Payment_Schedule!E:E,02_Payment_Schedule!A:A,A95,02_Payment_Schedule!D:D,C95)</f>
        <v>0</v>
      </c>
      <c r="H95" s="6" t="n">
        <f aca="false">G95-F95</f>
        <v>0</v>
      </c>
      <c r="I95" s="6" t="n">
        <f aca="false">MAX(0,D95+F95-G95)</f>
        <v>784264.975377529</v>
      </c>
      <c r="J95" s="6" t="str">
        <f aca="false">IF(G95&gt;0,"YES","NO")</f>
        <v>NO</v>
      </c>
      <c r="K95" s="1" t="n">
        <f aca="false">D95+F95-G95</f>
        <v>784264.975377529</v>
      </c>
    </row>
    <row r="96" customFormat="false" ht="15" hidden="false" customHeight="true" outlineLevel="0" collapsed="false">
      <c r="A96" s="1" t="s">
        <v>80</v>
      </c>
      <c r="B96" s="1" t="s">
        <v>73</v>
      </c>
      <c r="C96" s="7" t="n">
        <v>46143</v>
      </c>
      <c r="D96" s="6" t="n">
        <f aca="false">I95</f>
        <v>784264.975377529</v>
      </c>
      <c r="E96" s="1" t="n">
        <v>30</v>
      </c>
      <c r="F96" s="6" t="n">
        <f aca="false">D96*((1+01_Lease_Master!$P$8)^(E96/365)-1)</f>
        <v>5574.74585978423</v>
      </c>
      <c r="G96" s="6" t="n">
        <f aca="false">SUMIFS(02_Payment_Schedule!E:E,02_Payment_Schedule!A:A,A96,02_Payment_Schedule!D:D,C96)</f>
        <v>0</v>
      </c>
      <c r="H96" s="6" t="n">
        <f aca="false">G96-F96</f>
        <v>-5574.74585978423</v>
      </c>
      <c r="I96" s="6" t="n">
        <f aca="false">MAX(0,D96+F96-G96)</f>
        <v>789839.721237313</v>
      </c>
      <c r="J96" s="6" t="str">
        <f aca="false">IF(G96&gt;0,"YES","NO")</f>
        <v>NO</v>
      </c>
      <c r="K96" s="1" t="n">
        <f aca="false">D96+F96-G96</f>
        <v>789839.721237313</v>
      </c>
    </row>
    <row r="97" customFormat="false" ht="15" hidden="false" customHeight="true" outlineLevel="0" collapsed="false">
      <c r="A97" s="1" t="s">
        <v>80</v>
      </c>
      <c r="B97" s="1" t="s">
        <v>73</v>
      </c>
      <c r="C97" s="7" t="n">
        <v>46174</v>
      </c>
      <c r="D97" s="6" t="n">
        <f aca="false">I96</f>
        <v>789839.721237313</v>
      </c>
      <c r="E97" s="1" t="n">
        <v>31</v>
      </c>
      <c r="F97" s="6" t="n">
        <f aca="false">D97*((1+01_Lease_Master!$P$8)^(E97/365)-1)</f>
        <v>5802.20399834549</v>
      </c>
      <c r="G97" s="6" t="n">
        <f aca="false">SUMIFS(02_Payment_Schedule!E:E,02_Payment_Schedule!A:A,A97,02_Payment_Schedule!D:D,C97)</f>
        <v>0</v>
      </c>
      <c r="H97" s="6" t="n">
        <f aca="false">G97-F97</f>
        <v>-5802.20399834549</v>
      </c>
      <c r="I97" s="6" t="n">
        <f aca="false">MAX(0,D97+F97-G97)</f>
        <v>795641.925235659</v>
      </c>
      <c r="J97" s="6" t="str">
        <f aca="false">IF(G97&gt;0,"YES","NO")</f>
        <v>NO</v>
      </c>
      <c r="K97" s="1" t="n">
        <f aca="false">D97+F97-G97</f>
        <v>795641.925235659</v>
      </c>
    </row>
    <row r="98" customFormat="false" ht="15" hidden="false" customHeight="true" outlineLevel="0" collapsed="false">
      <c r="A98" s="1" t="s">
        <v>80</v>
      </c>
      <c r="B98" s="1" t="s">
        <v>73</v>
      </c>
      <c r="C98" s="7" t="n">
        <v>46204</v>
      </c>
      <c r="D98" s="6" t="n">
        <f aca="false">I97</f>
        <v>795641.925235659</v>
      </c>
      <c r="E98" s="1" t="n">
        <v>30</v>
      </c>
      <c r="F98" s="6" t="n">
        <f aca="false">D98*((1+01_Lease_Master!$P$8)^(E98/365)-1)</f>
        <v>5655.61598163055</v>
      </c>
      <c r="G98" s="6" t="n">
        <f aca="false">SUMIFS(02_Payment_Schedule!E:E,02_Payment_Schedule!A:A,A98,02_Payment_Schedule!D:D,C98)</f>
        <v>0</v>
      </c>
      <c r="H98" s="6" t="n">
        <f aca="false">G98-F98</f>
        <v>-5655.61598163055</v>
      </c>
      <c r="I98" s="6" t="n">
        <f aca="false">MAX(0,D98+F98-G98)</f>
        <v>801297.541217289</v>
      </c>
      <c r="J98" s="6" t="str">
        <f aca="false">IF(G98&gt;0,"YES","NO")</f>
        <v>NO</v>
      </c>
      <c r="K98" s="1" t="n">
        <f aca="false">D98+F98-G98</f>
        <v>801297.541217289</v>
      </c>
    </row>
    <row r="99" customFormat="false" ht="15" hidden="false" customHeight="true" outlineLevel="0" collapsed="false">
      <c r="A99" s="1" t="s">
        <v>80</v>
      </c>
      <c r="B99" s="1" t="s">
        <v>73</v>
      </c>
      <c r="C99" s="7" t="n">
        <v>46235</v>
      </c>
      <c r="D99" s="6" t="n">
        <f aca="false">I98</f>
        <v>801297.541217289</v>
      </c>
      <c r="E99" s="1" t="n">
        <v>31</v>
      </c>
      <c r="F99" s="6" t="n">
        <f aca="false">D99*((1+01_Lease_Master!$P$8)^(E99/365)-1)</f>
        <v>5886.37374457704</v>
      </c>
      <c r="G99" s="6" t="n">
        <f aca="false">SUMIFS(02_Payment_Schedule!E:E,02_Payment_Schedule!A:A,A99,02_Payment_Schedule!D:D,C99)</f>
        <v>0</v>
      </c>
      <c r="H99" s="6" t="n">
        <f aca="false">G99-F99</f>
        <v>-5886.37374457704</v>
      </c>
      <c r="I99" s="6" t="n">
        <f aca="false">MAX(0,D99+F99-G99)</f>
        <v>807183.914961866</v>
      </c>
      <c r="J99" s="6" t="str">
        <f aca="false">IF(G99&gt;0,"YES","NO")</f>
        <v>NO</v>
      </c>
      <c r="K99" s="1" t="n">
        <f aca="false">D99+F99-G99</f>
        <v>807183.914961866</v>
      </c>
    </row>
    <row r="100" customFormat="false" ht="15" hidden="false" customHeight="true" outlineLevel="0" collapsed="false">
      <c r="A100" s="1" t="s">
        <v>80</v>
      </c>
      <c r="B100" s="1" t="s">
        <v>73</v>
      </c>
      <c r="C100" s="7" t="n">
        <v>46266</v>
      </c>
      <c r="D100" s="6" t="n">
        <f aca="false">I99</f>
        <v>807183.914961866</v>
      </c>
      <c r="E100" s="1" t="n">
        <v>31</v>
      </c>
      <c r="F100" s="6" t="n">
        <f aca="false">D100*((1+01_Lease_Master!$P$8)^(E100/365)-1)</f>
        <v>5929.61535468882</v>
      </c>
      <c r="G100" s="6" t="n">
        <f aca="false">SUMIFS(02_Payment_Schedule!E:E,02_Payment_Schedule!A:A,A100,02_Payment_Schedule!D:D,C100)</f>
        <v>0</v>
      </c>
      <c r="H100" s="6" t="n">
        <f aca="false">G100-F100</f>
        <v>-5929.61535468882</v>
      </c>
      <c r="I100" s="6" t="n">
        <f aca="false">MAX(0,D100+F100-G100)</f>
        <v>813113.530316555</v>
      </c>
      <c r="J100" s="6" t="str">
        <f aca="false">IF(G100&gt;0,"YES","NO")</f>
        <v>NO</v>
      </c>
      <c r="K100" s="1" t="n">
        <f aca="false">D100+F100-G100</f>
        <v>813113.530316555</v>
      </c>
    </row>
    <row r="101" customFormat="false" ht="15" hidden="false" customHeight="true" outlineLevel="0" collapsed="false">
      <c r="A101" s="1" t="s">
        <v>80</v>
      </c>
      <c r="B101" s="1" t="s">
        <v>73</v>
      </c>
      <c r="C101" s="7" t="n">
        <v>46271</v>
      </c>
      <c r="D101" s="6" t="n">
        <f aca="false">I100</f>
        <v>813113.530316555</v>
      </c>
      <c r="E101" s="1" t="n">
        <v>5</v>
      </c>
      <c r="F101" s="6" t="n">
        <f aca="false">D101*((1+01_Lease_Master!$P$8)^(E101/365)-1)</f>
        <v>960.460655147478</v>
      </c>
      <c r="G101" s="6" t="n">
        <f aca="false">SUMIFS(02_Payment_Schedule!E:E,02_Payment_Schedule!A:A,A101,02_Payment_Schedule!D:D,C101)</f>
        <v>0</v>
      </c>
      <c r="H101" s="6" t="n">
        <f aca="false">G101-F101</f>
        <v>-960.460655147478</v>
      </c>
      <c r="I101" s="6" t="n">
        <f aca="false">MAX(0,D101+F101-G101)</f>
        <v>814073.990971703</v>
      </c>
      <c r="J101" s="6" t="str">
        <f aca="false">IF(G101&gt;0,"YES","NO")</f>
        <v>NO</v>
      </c>
      <c r="K101" s="1" t="n">
        <f aca="false">D101+F101-G101</f>
        <v>814073.990971703</v>
      </c>
    </row>
    <row r="102" customFormat="false" ht="15" hidden="false" customHeight="true" outlineLevel="0" collapsed="false">
      <c r="A102" s="1" t="s">
        <v>84</v>
      </c>
      <c r="B102" s="1" t="s">
        <v>73</v>
      </c>
      <c r="C102" s="7" t="n">
        <v>45672</v>
      </c>
      <c r="D102" s="6" t="n">
        <f aca="false">03_Initial_Recognition!$B$9</f>
        <v>1652805.49626747</v>
      </c>
      <c r="E102" s="1" t="n">
        <v>0</v>
      </c>
      <c r="F102" s="6" t="n">
        <f aca="false">D102*((1+01_Lease_Master!$P$9)^(E102/365)-1)</f>
        <v>0</v>
      </c>
      <c r="G102" s="6" t="n">
        <f aca="false">SUMIFS(02_Payment_Schedule!E:E,02_Payment_Schedule!A:A,A102,02_Payment_Schedule!D:D,C102)</f>
        <v>0</v>
      </c>
      <c r="H102" s="6" t="n">
        <f aca="false">G102-F102</f>
        <v>0</v>
      </c>
      <c r="I102" s="6" t="n">
        <f aca="false">MAX(0,D102+F102-G102)</f>
        <v>1652805.49626747</v>
      </c>
      <c r="J102" s="6" t="str">
        <f aca="false">IF(G102&gt;0,"YES","NO")</f>
        <v>NO</v>
      </c>
      <c r="K102" s="1" t="n">
        <f aca="false">D102+F102-G102</f>
        <v>1652805.49626747</v>
      </c>
    </row>
    <row r="103" customFormat="false" ht="15" hidden="false" customHeight="true" outlineLevel="0" collapsed="false">
      <c r="A103" s="1" t="s">
        <v>84</v>
      </c>
      <c r="B103" s="1" t="s">
        <v>73</v>
      </c>
      <c r="C103" s="7" t="n">
        <v>45703</v>
      </c>
      <c r="D103" s="6" t="n">
        <f aca="false">I102</f>
        <v>1652805.49626747</v>
      </c>
      <c r="E103" s="1" t="n">
        <v>31</v>
      </c>
      <c r="F103" s="6" t="n">
        <f aca="false">D103*((1+01_Lease_Master!$P$9)^(E103/365)-1)</f>
        <v>14714.679528074</v>
      </c>
      <c r="G103" s="6" t="n">
        <f aca="false">SUMIFS(02_Payment_Schedule!E:E,02_Payment_Schedule!A:A,A103,02_Payment_Schedule!D:D,C103)</f>
        <v>55000</v>
      </c>
      <c r="H103" s="6" t="n">
        <f aca="false">G103-F103</f>
        <v>40285.3204719261</v>
      </c>
      <c r="I103" s="6" t="n">
        <f aca="false">MAX(0,D103+F103-G103)</f>
        <v>1612520.17579555</v>
      </c>
      <c r="J103" s="6" t="str">
        <f aca="false">IF(G103&gt;0,"YES","NO")</f>
        <v>YES</v>
      </c>
      <c r="K103" s="1" t="n">
        <f aca="false">D103+F103-G103</f>
        <v>1612520.17579555</v>
      </c>
    </row>
    <row r="104" customFormat="false" ht="15" hidden="false" customHeight="true" outlineLevel="0" collapsed="false">
      <c r="A104" s="1" t="s">
        <v>84</v>
      </c>
      <c r="B104" s="1" t="s">
        <v>73</v>
      </c>
      <c r="C104" s="7" t="n">
        <v>45731</v>
      </c>
      <c r="D104" s="6" t="n">
        <f aca="false">I103</f>
        <v>1612520.17579555</v>
      </c>
      <c r="E104" s="1" t="n">
        <v>28</v>
      </c>
      <c r="F104" s="6" t="n">
        <f aca="false">D104*((1+01_Lease_Master!$P$9)^(E104/365)-1)</f>
        <v>12961.1648307547</v>
      </c>
      <c r="G104" s="6" t="n">
        <f aca="false">SUMIFS(02_Payment_Schedule!E:E,02_Payment_Schedule!A:A,A104,02_Payment_Schedule!D:D,C104)</f>
        <v>55000</v>
      </c>
      <c r="H104" s="6" t="n">
        <f aca="false">G104-F104</f>
        <v>42038.8351692453</v>
      </c>
      <c r="I104" s="6" t="n">
        <f aca="false">MAX(0,D104+F104-G104)</f>
        <v>1570481.3406263</v>
      </c>
      <c r="J104" s="6" t="str">
        <f aca="false">IF(G104&gt;0,"YES","NO")</f>
        <v>YES</v>
      </c>
      <c r="K104" s="1" t="n">
        <f aca="false">D104+F104-G104</f>
        <v>1570481.3406263</v>
      </c>
    </row>
    <row r="105" customFormat="false" ht="15" hidden="false" customHeight="true" outlineLevel="0" collapsed="false">
      <c r="A105" s="1" t="s">
        <v>84</v>
      </c>
      <c r="B105" s="1" t="s">
        <v>73</v>
      </c>
      <c r="C105" s="7" t="n">
        <v>45762</v>
      </c>
      <c r="D105" s="6" t="n">
        <f aca="false">I104</f>
        <v>1570481.3406263</v>
      </c>
      <c r="E105" s="1" t="n">
        <v>31</v>
      </c>
      <c r="F105" s="6" t="n">
        <f aca="false">D105*((1+01_Lease_Master!$P$9)^(E105/365)-1)</f>
        <v>13981.7599132646</v>
      </c>
      <c r="G105" s="6" t="n">
        <f aca="false">SUMIFS(02_Payment_Schedule!E:E,02_Payment_Schedule!A:A,A105,02_Payment_Schedule!D:D,C105)</f>
        <v>55000</v>
      </c>
      <c r="H105" s="6" t="n">
        <f aca="false">G105-F105</f>
        <v>41018.2400867354</v>
      </c>
      <c r="I105" s="6" t="n">
        <f aca="false">MAX(0,D105+F105-G105)</f>
        <v>1529463.10053957</v>
      </c>
      <c r="J105" s="6" t="str">
        <f aca="false">IF(G105&gt;0,"YES","NO")</f>
        <v>YES</v>
      </c>
      <c r="K105" s="1" t="n">
        <f aca="false">D105+F105-G105</f>
        <v>1529463.10053957</v>
      </c>
    </row>
    <row r="106" customFormat="false" ht="15" hidden="false" customHeight="true" outlineLevel="0" collapsed="false">
      <c r="A106" s="1" t="s">
        <v>84</v>
      </c>
      <c r="B106" s="1" t="s">
        <v>73</v>
      </c>
      <c r="C106" s="7" t="n">
        <v>45792</v>
      </c>
      <c r="D106" s="6" t="n">
        <f aca="false">I105</f>
        <v>1529463.10053957</v>
      </c>
      <c r="E106" s="1" t="n">
        <v>30</v>
      </c>
      <c r="F106" s="6" t="n">
        <f aca="false">D106*((1+01_Lease_Master!$P$9)^(E106/365)-1)</f>
        <v>13175.4497131069</v>
      </c>
      <c r="G106" s="6" t="n">
        <f aca="false">SUMIFS(02_Payment_Schedule!E:E,02_Payment_Schedule!A:A,A106,02_Payment_Schedule!D:D,C106)</f>
        <v>55000</v>
      </c>
      <c r="H106" s="6" t="n">
        <f aca="false">G106-F106</f>
        <v>41824.5502868931</v>
      </c>
      <c r="I106" s="6" t="n">
        <f aca="false">MAX(0,D106+F106-G106)</f>
        <v>1487638.55025267</v>
      </c>
      <c r="J106" s="6" t="str">
        <f aca="false">IF(G106&gt;0,"YES","NO")</f>
        <v>YES</v>
      </c>
      <c r="K106" s="1" t="n">
        <f aca="false">D106+F106-G106</f>
        <v>1487638.55025267</v>
      </c>
    </row>
    <row r="107" customFormat="false" ht="15" hidden="false" customHeight="true" outlineLevel="0" collapsed="false">
      <c r="A107" s="1" t="s">
        <v>84</v>
      </c>
      <c r="B107" s="1" t="s">
        <v>73</v>
      </c>
      <c r="C107" s="7" t="n">
        <v>45823</v>
      </c>
      <c r="D107" s="6" t="n">
        <f aca="false">I106</f>
        <v>1487638.55025267</v>
      </c>
      <c r="E107" s="1" t="n">
        <v>31</v>
      </c>
      <c r="F107" s="6" t="n">
        <f aca="false">D107*((1+01_Lease_Master!$P$9)^(E107/365)-1)</f>
        <v>13244.2229711911</v>
      </c>
      <c r="G107" s="6" t="n">
        <f aca="false">SUMIFS(02_Payment_Schedule!E:E,02_Payment_Schedule!A:A,A107,02_Payment_Schedule!D:D,C107)</f>
        <v>55000</v>
      </c>
      <c r="H107" s="6" t="n">
        <f aca="false">G107-F107</f>
        <v>41755.7770288089</v>
      </c>
      <c r="I107" s="6" t="n">
        <f aca="false">MAX(0,D107+F107-G107)</f>
        <v>1445882.77322386</v>
      </c>
      <c r="J107" s="6" t="str">
        <f aca="false">IF(G107&gt;0,"YES","NO")</f>
        <v>YES</v>
      </c>
      <c r="K107" s="1" t="n">
        <f aca="false">D107+F107-G107</f>
        <v>1445882.77322386</v>
      </c>
    </row>
    <row r="108" customFormat="false" ht="15" hidden="false" customHeight="true" outlineLevel="0" collapsed="false">
      <c r="A108" s="1" t="s">
        <v>84</v>
      </c>
      <c r="B108" s="1" t="s">
        <v>73</v>
      </c>
      <c r="C108" s="7" t="n">
        <v>45853</v>
      </c>
      <c r="D108" s="6" t="n">
        <f aca="false">I107</f>
        <v>1445882.77322386</v>
      </c>
      <c r="E108" s="1" t="n">
        <v>30</v>
      </c>
      <c r="F108" s="6" t="n">
        <f aca="false">D108*((1+01_Lease_Master!$P$9)^(E108/365)-1)</f>
        <v>12455.4530036966</v>
      </c>
      <c r="G108" s="6" t="n">
        <f aca="false">SUMIFS(02_Payment_Schedule!E:E,02_Payment_Schedule!A:A,A108,02_Payment_Schedule!D:D,C108)</f>
        <v>55000</v>
      </c>
      <c r="H108" s="6" t="n">
        <f aca="false">G108-F108</f>
        <v>42544.5469963035</v>
      </c>
      <c r="I108" s="6" t="n">
        <f aca="false">MAX(0,D108+F108-G108)</f>
        <v>1403338.22622756</v>
      </c>
      <c r="J108" s="6" t="str">
        <f aca="false">IF(G108&gt;0,"YES","NO")</f>
        <v>YES</v>
      </c>
      <c r="K108" s="1" t="n">
        <f aca="false">D108+F108-G108</f>
        <v>1403338.22622756</v>
      </c>
    </row>
    <row r="109" customFormat="false" ht="15" hidden="false" customHeight="true" outlineLevel="0" collapsed="false">
      <c r="A109" s="1" t="s">
        <v>84</v>
      </c>
      <c r="B109" s="1" t="s">
        <v>73</v>
      </c>
      <c r="C109" s="7" t="n">
        <v>45884</v>
      </c>
      <c r="D109" s="6" t="n">
        <f aca="false">I108</f>
        <v>1403338.22622756</v>
      </c>
      <c r="E109" s="1" t="n">
        <v>31</v>
      </c>
      <c r="F109" s="6" t="n">
        <f aca="false">D109*((1+01_Lease_Master!$P$9)^(E109/365)-1)</f>
        <v>12493.7098255466</v>
      </c>
      <c r="G109" s="6" t="n">
        <f aca="false">SUMIFS(02_Payment_Schedule!E:E,02_Payment_Schedule!A:A,A109,02_Payment_Schedule!D:D,C109)</f>
        <v>55000</v>
      </c>
      <c r="H109" s="6" t="n">
        <f aca="false">G109-F109</f>
        <v>42506.2901744534</v>
      </c>
      <c r="I109" s="6" t="n">
        <f aca="false">MAX(0,D109+F109-G109)</f>
        <v>1360831.93605311</v>
      </c>
      <c r="J109" s="6" t="str">
        <f aca="false">IF(G109&gt;0,"YES","NO")</f>
        <v>YES</v>
      </c>
      <c r="K109" s="1" t="n">
        <f aca="false">D109+F109-G109</f>
        <v>1360831.93605311</v>
      </c>
    </row>
    <row r="110" customFormat="false" ht="15" hidden="false" customHeight="true" outlineLevel="0" collapsed="false">
      <c r="A110" s="1" t="s">
        <v>84</v>
      </c>
      <c r="B110" s="1" t="s">
        <v>73</v>
      </c>
      <c r="C110" s="7" t="n">
        <v>45915</v>
      </c>
      <c r="D110" s="6" t="n">
        <f aca="false">I109</f>
        <v>1360831.93605311</v>
      </c>
      <c r="E110" s="1" t="n">
        <v>31</v>
      </c>
      <c r="F110" s="6" t="n">
        <f aca="false">D110*((1+01_Lease_Master!$P$9)^(E110/365)-1)</f>
        <v>12115.2826970932</v>
      </c>
      <c r="G110" s="6" t="n">
        <f aca="false">SUMIFS(02_Payment_Schedule!E:E,02_Payment_Schedule!A:A,A110,02_Payment_Schedule!D:D,C110)</f>
        <v>55000</v>
      </c>
      <c r="H110" s="6" t="n">
        <f aca="false">G110-F110</f>
        <v>42884.7173029068</v>
      </c>
      <c r="I110" s="6" t="n">
        <f aca="false">MAX(0,D110+F110-G110)</f>
        <v>1317947.2187502</v>
      </c>
      <c r="J110" s="6" t="str">
        <f aca="false">IF(G110&gt;0,"YES","NO")</f>
        <v>YES</v>
      </c>
      <c r="K110" s="1" t="n">
        <f aca="false">D110+F110-G110</f>
        <v>1317947.2187502</v>
      </c>
    </row>
    <row r="111" customFormat="false" ht="15" hidden="false" customHeight="true" outlineLevel="0" collapsed="false">
      <c r="A111" s="1" t="s">
        <v>84</v>
      </c>
      <c r="B111" s="1" t="s">
        <v>73</v>
      </c>
      <c r="C111" s="7" t="n">
        <v>45945</v>
      </c>
      <c r="D111" s="6" t="n">
        <f aca="false">I110</f>
        <v>1317947.2187502</v>
      </c>
      <c r="E111" s="1" t="n">
        <v>30</v>
      </c>
      <c r="F111" s="6" t="n">
        <f aca="false">D111*((1+01_Lease_Master!$P$9)^(E111/365)-1)</f>
        <v>11353.3613848196</v>
      </c>
      <c r="G111" s="6" t="n">
        <f aca="false">SUMIFS(02_Payment_Schedule!E:E,02_Payment_Schedule!A:A,A111,02_Payment_Schedule!D:D,C111)</f>
        <v>55000</v>
      </c>
      <c r="H111" s="6" t="n">
        <f aca="false">G111-F111</f>
        <v>43646.6386151804</v>
      </c>
      <c r="I111" s="6" t="n">
        <f aca="false">MAX(0,D111+F111-G111)</f>
        <v>1274300.58013502</v>
      </c>
      <c r="J111" s="6" t="str">
        <f aca="false">IF(G111&gt;0,"YES","NO")</f>
        <v>YES</v>
      </c>
      <c r="K111" s="1" t="n">
        <f aca="false">D111+F111-G111</f>
        <v>1274300.58013502</v>
      </c>
    </row>
    <row r="112" customFormat="false" ht="15" hidden="false" customHeight="true" outlineLevel="0" collapsed="false">
      <c r="A112" s="1" t="s">
        <v>84</v>
      </c>
      <c r="B112" s="1" t="s">
        <v>73</v>
      </c>
      <c r="C112" s="7" t="n">
        <v>45976</v>
      </c>
      <c r="D112" s="6" t="n">
        <f aca="false">I111</f>
        <v>1274300.58013502</v>
      </c>
      <c r="E112" s="1" t="n">
        <v>31</v>
      </c>
      <c r="F112" s="6" t="n">
        <f aca="false">D112*((1+01_Lease_Master!$P$9)^(E112/365)-1)</f>
        <v>11344.9070090042</v>
      </c>
      <c r="G112" s="6" t="n">
        <f aca="false">SUMIFS(02_Payment_Schedule!E:E,02_Payment_Schedule!A:A,A112,02_Payment_Schedule!D:D,C112)</f>
        <v>55000</v>
      </c>
      <c r="H112" s="6" t="n">
        <f aca="false">G112-F112</f>
        <v>43655.0929909958</v>
      </c>
      <c r="I112" s="6" t="n">
        <f aca="false">MAX(0,D112+F112-G112)</f>
        <v>1230645.48714402</v>
      </c>
      <c r="J112" s="6" t="str">
        <f aca="false">IF(G112&gt;0,"YES","NO")</f>
        <v>YES</v>
      </c>
      <c r="K112" s="1" t="n">
        <f aca="false">D112+F112-G112</f>
        <v>1230645.48714402</v>
      </c>
    </row>
    <row r="113" customFormat="false" ht="15" hidden="false" customHeight="true" outlineLevel="0" collapsed="false">
      <c r="A113" s="1" t="s">
        <v>84</v>
      </c>
      <c r="B113" s="1" t="s">
        <v>73</v>
      </c>
      <c r="C113" s="7" t="n">
        <v>46006</v>
      </c>
      <c r="D113" s="6" t="n">
        <f aca="false">I112</f>
        <v>1230645.48714402</v>
      </c>
      <c r="E113" s="1" t="n">
        <v>30</v>
      </c>
      <c r="F113" s="6" t="n">
        <f aca="false">D113*((1+01_Lease_Master!$P$9)^(E113/365)-1)</f>
        <v>10601.3069061999</v>
      </c>
      <c r="G113" s="6" t="n">
        <f aca="false">SUMIFS(02_Payment_Schedule!E:E,02_Payment_Schedule!A:A,A113,02_Payment_Schedule!D:D,C113)</f>
        <v>55000</v>
      </c>
      <c r="H113" s="6" t="n">
        <f aca="false">G113-F113</f>
        <v>44398.6930938001</v>
      </c>
      <c r="I113" s="6" t="n">
        <f aca="false">MAX(0,D113+F113-G113)</f>
        <v>1186246.79405022</v>
      </c>
      <c r="J113" s="6" t="str">
        <f aca="false">IF(G113&gt;0,"YES","NO")</f>
        <v>YES</v>
      </c>
      <c r="K113" s="1" t="n">
        <f aca="false">D113+F113-G113</f>
        <v>1186246.79405022</v>
      </c>
    </row>
    <row r="114" customFormat="false" ht="15" hidden="false" customHeight="true" outlineLevel="0" collapsed="false">
      <c r="A114" s="1" t="s">
        <v>84</v>
      </c>
      <c r="B114" s="1" t="s">
        <v>73</v>
      </c>
      <c r="C114" s="7" t="n">
        <v>46037</v>
      </c>
      <c r="D114" s="6" t="n">
        <f aca="false">I113</f>
        <v>1186246.79405022</v>
      </c>
      <c r="E114" s="1" t="n">
        <v>31</v>
      </c>
      <c r="F114" s="6" t="n">
        <f aca="false">D114*((1+01_Lease_Master!$P$9)^(E114/365)-1)</f>
        <v>10560.977353399</v>
      </c>
      <c r="G114" s="6" t="n">
        <f aca="false">SUMIFS(02_Payment_Schedule!E:E,02_Payment_Schedule!A:A,A114,02_Payment_Schedule!D:D,C114)</f>
        <v>55000</v>
      </c>
      <c r="H114" s="6" t="n">
        <f aca="false">G114-F114</f>
        <v>44439.022646601</v>
      </c>
      <c r="I114" s="6" t="n">
        <f aca="false">MAX(0,D114+F114-G114)</f>
        <v>1141807.77140362</v>
      </c>
      <c r="J114" s="6" t="str">
        <f aca="false">IF(G114&gt;0,"YES","NO")</f>
        <v>YES</v>
      </c>
      <c r="K114" s="1" t="n">
        <f aca="false">D114+F114-G114</f>
        <v>1141807.77140362</v>
      </c>
    </row>
    <row r="115" customFormat="false" ht="15" hidden="false" customHeight="true" outlineLevel="0" collapsed="false">
      <c r="A115" s="1" t="s">
        <v>84</v>
      </c>
      <c r="B115" s="1" t="s">
        <v>73</v>
      </c>
      <c r="C115" s="7" t="n">
        <v>46068</v>
      </c>
      <c r="D115" s="6" t="n">
        <f aca="false">I114</f>
        <v>1141807.77140362</v>
      </c>
      <c r="E115" s="1" t="n">
        <v>31</v>
      </c>
      <c r="F115" s="6" t="n">
        <f aca="false">D115*((1+01_Lease_Master!$P$9)^(E115/365)-1)</f>
        <v>10165.3433975208</v>
      </c>
      <c r="G115" s="6" t="n">
        <f aca="false">SUMIFS(02_Payment_Schedule!E:E,02_Payment_Schedule!A:A,A115,02_Payment_Schedule!D:D,C115)</f>
        <v>55000</v>
      </c>
      <c r="H115" s="6" t="n">
        <f aca="false">G115-F115</f>
        <v>44834.6566024792</v>
      </c>
      <c r="I115" s="6" t="n">
        <f aca="false">MAX(0,D115+F115-G115)</f>
        <v>1096973.11480114</v>
      </c>
      <c r="J115" s="6" t="str">
        <f aca="false">IF(G115&gt;0,"YES","NO")</f>
        <v>YES</v>
      </c>
      <c r="K115" s="1" t="n">
        <f aca="false">D115+F115-G115</f>
        <v>1096973.11480114</v>
      </c>
    </row>
    <row r="116" customFormat="false" ht="15" hidden="false" customHeight="true" outlineLevel="0" collapsed="false">
      <c r="A116" s="1" t="s">
        <v>84</v>
      </c>
      <c r="B116" s="1" t="s">
        <v>73</v>
      </c>
      <c r="C116" s="7" t="n">
        <v>46096</v>
      </c>
      <c r="D116" s="6" t="n">
        <f aca="false">I115</f>
        <v>1096973.11480114</v>
      </c>
      <c r="E116" s="1" t="n">
        <v>28</v>
      </c>
      <c r="F116" s="6" t="n">
        <f aca="false">D116*((1+01_Lease_Master!$P$9)^(E116/365)-1)</f>
        <v>8817.28462642615</v>
      </c>
      <c r="G116" s="6" t="n">
        <f aca="false">SUMIFS(02_Payment_Schedule!E:E,02_Payment_Schedule!A:A,A116,02_Payment_Schedule!D:D,C116)</f>
        <v>55000</v>
      </c>
      <c r="H116" s="6" t="n">
        <f aca="false">G116-F116</f>
        <v>46182.7153735739</v>
      </c>
      <c r="I116" s="6" t="n">
        <f aca="false">MAX(0,D116+F116-G116)</f>
        <v>1050790.39942757</v>
      </c>
      <c r="J116" s="6" t="str">
        <f aca="false">IF(G116&gt;0,"YES","NO")</f>
        <v>YES</v>
      </c>
      <c r="K116" s="1" t="n">
        <f aca="false">D116+F116-G116</f>
        <v>1050790.39942757</v>
      </c>
    </row>
    <row r="117" customFormat="false" ht="15" hidden="false" customHeight="true" outlineLevel="0" collapsed="false">
      <c r="A117" s="1" t="s">
        <v>84</v>
      </c>
      <c r="B117" s="1" t="s">
        <v>73</v>
      </c>
      <c r="C117" s="7" t="n">
        <v>46127</v>
      </c>
      <c r="D117" s="6" t="n">
        <f aca="false">I116</f>
        <v>1050790.39942757</v>
      </c>
      <c r="E117" s="1" t="n">
        <v>31</v>
      </c>
      <c r="F117" s="6" t="n">
        <f aca="false">D117*((1+01_Lease_Master!$P$9)^(E117/365)-1)</f>
        <v>9355.02938105628</v>
      </c>
      <c r="G117" s="6" t="n">
        <f aca="false">SUMIFS(02_Payment_Schedule!E:E,02_Payment_Schedule!A:A,A117,02_Payment_Schedule!D:D,C117)</f>
        <v>55000</v>
      </c>
      <c r="H117" s="6" t="n">
        <f aca="false">G117-F117</f>
        <v>45644.9706189437</v>
      </c>
      <c r="I117" s="6" t="n">
        <f aca="false">MAX(0,D117+F117-G117)</f>
        <v>1005145.42880863</v>
      </c>
      <c r="J117" s="6" t="str">
        <f aca="false">IF(G117&gt;0,"YES","NO")</f>
        <v>YES</v>
      </c>
      <c r="K117" s="1" t="n">
        <f aca="false">D117+F117-G117</f>
        <v>1005145.42880863</v>
      </c>
    </row>
    <row r="118" customFormat="false" ht="15" hidden="false" customHeight="true" outlineLevel="0" collapsed="false">
      <c r="A118" s="1" t="s">
        <v>84</v>
      </c>
      <c r="B118" s="1" t="s">
        <v>73</v>
      </c>
      <c r="C118" s="7" t="n">
        <v>46157</v>
      </c>
      <c r="D118" s="6" t="n">
        <f aca="false">I117</f>
        <v>1005145.42880863</v>
      </c>
      <c r="E118" s="1" t="n">
        <v>30</v>
      </c>
      <c r="F118" s="6" t="n">
        <f aca="false">D118*((1+01_Lease_Master!$P$9)^(E118/365)-1)</f>
        <v>8658.75289633033</v>
      </c>
      <c r="G118" s="6" t="n">
        <f aca="false">SUMIFS(02_Payment_Schedule!E:E,02_Payment_Schedule!A:A,A118,02_Payment_Schedule!D:D,C118)</f>
        <v>55000</v>
      </c>
      <c r="H118" s="6" t="n">
        <f aca="false">G118-F118</f>
        <v>46341.2471036697</v>
      </c>
      <c r="I118" s="6" t="n">
        <f aca="false">MAX(0,D118+F118-G118)</f>
        <v>958804.181704957</v>
      </c>
      <c r="J118" s="6" t="str">
        <f aca="false">IF(G118&gt;0,"YES","NO")</f>
        <v>YES</v>
      </c>
      <c r="K118" s="1" t="n">
        <f aca="false">D118+F118-G118</f>
        <v>958804.181704957</v>
      </c>
    </row>
    <row r="119" customFormat="false" ht="15" hidden="false" customHeight="true" outlineLevel="0" collapsed="false">
      <c r="A119" s="1" t="s">
        <v>84</v>
      </c>
      <c r="B119" s="1" t="s">
        <v>73</v>
      </c>
      <c r="C119" s="7" t="n">
        <v>46188</v>
      </c>
      <c r="D119" s="6" t="n">
        <f aca="false">I118</f>
        <v>958804.181704957</v>
      </c>
      <c r="E119" s="1" t="n">
        <v>31</v>
      </c>
      <c r="F119" s="6" t="n">
        <f aca="false">D119*((1+01_Lease_Master!$P$9)^(E119/365)-1)</f>
        <v>8536.08987616923</v>
      </c>
      <c r="G119" s="6" t="n">
        <f aca="false">SUMIFS(02_Payment_Schedule!E:E,02_Payment_Schedule!A:A,A119,02_Payment_Schedule!D:D,C119)</f>
        <v>55000</v>
      </c>
      <c r="H119" s="6" t="n">
        <f aca="false">G119-F119</f>
        <v>46463.9101238308</v>
      </c>
      <c r="I119" s="6" t="n">
        <f aca="false">MAX(0,D119+F119-G119)</f>
        <v>912340.271581126</v>
      </c>
      <c r="J119" s="6" t="str">
        <f aca="false">IF(G119&gt;0,"YES","NO")</f>
        <v>YES</v>
      </c>
      <c r="K119" s="1" t="n">
        <f aca="false">D119+F119-G119</f>
        <v>912340.271581126</v>
      </c>
    </row>
    <row r="120" customFormat="false" ht="15" hidden="false" customHeight="true" outlineLevel="0" collapsed="false">
      <c r="A120" s="1" t="s">
        <v>84</v>
      </c>
      <c r="B120" s="1" t="s">
        <v>73</v>
      </c>
      <c r="C120" s="7" t="n">
        <v>46218</v>
      </c>
      <c r="D120" s="6" t="n">
        <f aca="false">I119</f>
        <v>912340.271581126</v>
      </c>
      <c r="E120" s="1" t="n">
        <v>30</v>
      </c>
      <c r="F120" s="6" t="n">
        <f aca="false">D120*((1+01_Lease_Master!$P$9)^(E120/365)-1)</f>
        <v>7859.28955410485</v>
      </c>
      <c r="G120" s="6" t="n">
        <f aca="false">SUMIFS(02_Payment_Schedule!E:E,02_Payment_Schedule!A:A,A120,02_Payment_Schedule!D:D,C120)</f>
        <v>55000</v>
      </c>
      <c r="H120" s="6" t="n">
        <f aca="false">G120-F120</f>
        <v>47140.7104458952</v>
      </c>
      <c r="I120" s="6" t="n">
        <f aca="false">MAX(0,D120+F120-G120)</f>
        <v>865199.561135231</v>
      </c>
      <c r="J120" s="6" t="str">
        <f aca="false">IF(G120&gt;0,"YES","NO")</f>
        <v>YES</v>
      </c>
      <c r="K120" s="1" t="n">
        <f aca="false">D120+F120-G120</f>
        <v>865199.561135231</v>
      </c>
    </row>
    <row r="121" customFormat="false" ht="15" hidden="false" customHeight="true" outlineLevel="0" collapsed="false">
      <c r="A121" s="1" t="s">
        <v>84</v>
      </c>
      <c r="B121" s="1" t="s">
        <v>73</v>
      </c>
      <c r="C121" s="7" t="n">
        <v>46249</v>
      </c>
      <c r="D121" s="6" t="n">
        <f aca="false">I120</f>
        <v>865199.561135231</v>
      </c>
      <c r="E121" s="1" t="n">
        <v>31</v>
      </c>
      <c r="F121" s="6" t="n">
        <f aca="false">D121*((1+01_Lease_Master!$P$9)^(E121/365)-1)</f>
        <v>7702.74197338153</v>
      </c>
      <c r="G121" s="6" t="n">
        <f aca="false">SUMIFS(02_Payment_Schedule!E:E,02_Payment_Schedule!A:A,A121,02_Payment_Schedule!D:D,C121)</f>
        <v>55000</v>
      </c>
      <c r="H121" s="6" t="n">
        <f aca="false">G121-F121</f>
        <v>47297.2580266185</v>
      </c>
      <c r="I121" s="6" t="n">
        <f aca="false">MAX(0,D121+F121-G121)</f>
        <v>817902.303108613</v>
      </c>
      <c r="J121" s="6" t="str">
        <f aca="false">IF(G121&gt;0,"YES","NO")</f>
        <v>YES</v>
      </c>
      <c r="K121" s="1" t="n">
        <f aca="false">D121+F121-G121</f>
        <v>817902.303108613</v>
      </c>
    </row>
    <row r="122" customFormat="false" ht="15" hidden="false" customHeight="true" outlineLevel="0" collapsed="false">
      <c r="A122" s="1" t="s">
        <v>84</v>
      </c>
      <c r="B122" s="1" t="s">
        <v>73</v>
      </c>
      <c r="C122" s="7" t="n">
        <v>46271</v>
      </c>
      <c r="D122" s="6" t="n">
        <f aca="false">I121</f>
        <v>817902.303108613</v>
      </c>
      <c r="E122" s="1" t="n">
        <v>22</v>
      </c>
      <c r="F122" s="6" t="n">
        <f aca="false">D122*((1+01_Lease_Master!$P$9)^(E122/365)-1)</f>
        <v>5160.97785579684</v>
      </c>
      <c r="G122" s="6" t="n">
        <f aca="false">SUMIFS(02_Payment_Schedule!E:E,02_Payment_Schedule!A:A,A122,02_Payment_Schedule!D:D,C122)</f>
        <v>0</v>
      </c>
      <c r="H122" s="6" t="n">
        <f aca="false">G122-F122</f>
        <v>-5160.97785579684</v>
      </c>
      <c r="I122" s="6" t="n">
        <f aca="false">MAX(0,D122+F122-G122)</f>
        <v>823063.280964409</v>
      </c>
      <c r="J122" s="6" t="str">
        <f aca="false">IF(G122&gt;0,"YES","NO")</f>
        <v>NO</v>
      </c>
      <c r="K122" s="1" t="n">
        <f aca="false">D122+F122-G122</f>
        <v>823063.280964409</v>
      </c>
    </row>
    <row r="123" customFormat="false" ht="15" hidden="false" customHeight="true" outlineLevel="0" collapsed="false">
      <c r="A123" s="1" t="s">
        <v>88</v>
      </c>
      <c r="B123" s="1" t="s">
        <v>73</v>
      </c>
      <c r="C123" s="7" t="n">
        <v>45108</v>
      </c>
      <c r="D123" s="6" t="n">
        <f aca="false">03_Initial_Recognition!$B$10</f>
        <v>4902114.65847224</v>
      </c>
      <c r="E123" s="1" t="n">
        <v>0</v>
      </c>
      <c r="F123" s="6" t="n">
        <f aca="false">D123*((1+01_Lease_Master!$P$10)^(E123/365)-1)</f>
        <v>0</v>
      </c>
      <c r="G123" s="6" t="n">
        <f aca="false">SUMIFS(02_Payment_Schedule!E:E,02_Payment_Schedule!A:A,A123,02_Payment_Schedule!D:D,C123)</f>
        <v>300000</v>
      </c>
      <c r="H123" s="6" t="n">
        <f aca="false">G123-F123</f>
        <v>300000</v>
      </c>
      <c r="I123" s="6" t="n">
        <f aca="false">MAX(0,D123+F123-G123)</f>
        <v>4602114.65847224</v>
      </c>
      <c r="J123" s="6" t="str">
        <f aca="false">IF(G123&gt;0,"YES","NO")</f>
        <v>YES</v>
      </c>
      <c r="K123" s="1" t="n">
        <f aca="false">D123+F123-G123</f>
        <v>4602114.65847224</v>
      </c>
    </row>
    <row r="124" customFormat="false" ht="15" hidden="false" customHeight="true" outlineLevel="0" collapsed="false">
      <c r="A124" s="1" t="s">
        <v>88</v>
      </c>
      <c r="B124" s="1" t="s">
        <v>73</v>
      </c>
      <c r="C124" s="7" t="n">
        <v>45139</v>
      </c>
      <c r="D124" s="6" t="n">
        <f aca="false">I123</f>
        <v>4602114.65847224</v>
      </c>
      <c r="E124" s="1" t="n">
        <v>31</v>
      </c>
      <c r="F124" s="6" t="n">
        <f aca="false">D124*((1+01_Lease_Master!$P$10)^(E124/365)-1)</f>
        <v>35609.7236611879</v>
      </c>
      <c r="G124" s="6" t="n">
        <f aca="false">SUMIFS(02_Payment_Schedule!E:E,02_Payment_Schedule!A:A,A124,02_Payment_Schedule!D:D,C124)</f>
        <v>0</v>
      </c>
      <c r="H124" s="6" t="n">
        <f aca="false">G124-F124</f>
        <v>-35609.7236611879</v>
      </c>
      <c r="I124" s="6" t="n">
        <f aca="false">MAX(0,D124+F124-G124)</f>
        <v>4637724.38213343</v>
      </c>
      <c r="J124" s="6" t="str">
        <f aca="false">IF(G124&gt;0,"YES","NO")</f>
        <v>NO</v>
      </c>
      <c r="K124" s="1" t="n">
        <f aca="false">D124+F124-G124</f>
        <v>4637724.38213343</v>
      </c>
    </row>
    <row r="125" customFormat="false" ht="15" hidden="false" customHeight="true" outlineLevel="0" collapsed="false">
      <c r="A125" s="1" t="s">
        <v>88</v>
      </c>
      <c r="B125" s="1" t="s">
        <v>73</v>
      </c>
      <c r="C125" s="7" t="n">
        <v>45170</v>
      </c>
      <c r="D125" s="6" t="n">
        <f aca="false">I124</f>
        <v>4637724.38213343</v>
      </c>
      <c r="E125" s="1" t="n">
        <v>31</v>
      </c>
      <c r="F125" s="6" t="n">
        <f aca="false">D125*((1+01_Lease_Master!$P$10)^(E125/365)-1)</f>
        <v>35885.2605639662</v>
      </c>
      <c r="G125" s="6" t="n">
        <f aca="false">SUMIFS(02_Payment_Schedule!E:E,02_Payment_Schedule!A:A,A125,02_Payment_Schedule!D:D,C125)</f>
        <v>0</v>
      </c>
      <c r="H125" s="6" t="n">
        <f aca="false">G125-F125</f>
        <v>-35885.2605639662</v>
      </c>
      <c r="I125" s="6" t="n">
        <f aca="false">MAX(0,D125+F125-G125)</f>
        <v>4673609.64269739</v>
      </c>
      <c r="J125" s="6" t="str">
        <f aca="false">IF(G125&gt;0,"YES","NO")</f>
        <v>NO</v>
      </c>
      <c r="K125" s="1" t="n">
        <f aca="false">D125+F125-G125</f>
        <v>4673609.64269739</v>
      </c>
    </row>
    <row r="126" customFormat="false" ht="15" hidden="false" customHeight="true" outlineLevel="0" collapsed="false">
      <c r="A126" s="1" t="s">
        <v>88</v>
      </c>
      <c r="B126" s="1" t="s">
        <v>73</v>
      </c>
      <c r="C126" s="7" t="n">
        <v>45200</v>
      </c>
      <c r="D126" s="6" t="n">
        <f aca="false">I125</f>
        <v>4673609.64269739</v>
      </c>
      <c r="E126" s="1" t="n">
        <v>30</v>
      </c>
      <c r="F126" s="6" t="n">
        <f aca="false">D126*((1+01_Lease_Master!$P$10)^(E126/365)-1)</f>
        <v>34992.027357746</v>
      </c>
      <c r="G126" s="6" t="n">
        <f aca="false">SUMIFS(02_Payment_Schedule!E:E,02_Payment_Schedule!A:A,A126,02_Payment_Schedule!D:D,C126)</f>
        <v>300000</v>
      </c>
      <c r="H126" s="6" t="n">
        <f aca="false">G126-F126</f>
        <v>265007.972642254</v>
      </c>
      <c r="I126" s="6" t="n">
        <f aca="false">MAX(0,D126+F126-G126)</f>
        <v>4408601.67005514</v>
      </c>
      <c r="J126" s="6" t="str">
        <f aca="false">IF(G126&gt;0,"YES","NO")</f>
        <v>YES</v>
      </c>
      <c r="K126" s="1" t="n">
        <f aca="false">D126+F126-G126</f>
        <v>4408601.67005514</v>
      </c>
    </row>
    <row r="127" customFormat="false" ht="15" hidden="false" customHeight="true" outlineLevel="0" collapsed="false">
      <c r="A127" s="1" t="s">
        <v>88</v>
      </c>
      <c r="B127" s="1" t="s">
        <v>73</v>
      </c>
      <c r="C127" s="7" t="n">
        <v>45231</v>
      </c>
      <c r="D127" s="6" t="n">
        <f aca="false">I126</f>
        <v>4408601.67005514</v>
      </c>
      <c r="E127" s="1" t="n">
        <v>31</v>
      </c>
      <c r="F127" s="6" t="n">
        <f aca="false">D127*((1+01_Lease_Master!$P$10)^(E127/365)-1)</f>
        <v>34112.3806887137</v>
      </c>
      <c r="G127" s="6" t="n">
        <f aca="false">SUMIFS(02_Payment_Schedule!E:E,02_Payment_Schedule!A:A,A127,02_Payment_Schedule!D:D,C127)</f>
        <v>0</v>
      </c>
      <c r="H127" s="6" t="n">
        <f aca="false">G127-F127</f>
        <v>-34112.3806887137</v>
      </c>
      <c r="I127" s="6" t="n">
        <f aca="false">MAX(0,D127+F127-G127)</f>
        <v>4442714.05074385</v>
      </c>
      <c r="J127" s="6" t="str">
        <f aca="false">IF(G127&gt;0,"YES","NO")</f>
        <v>NO</v>
      </c>
      <c r="K127" s="1" t="n">
        <f aca="false">D127+F127-G127</f>
        <v>4442714.05074385</v>
      </c>
    </row>
    <row r="128" customFormat="false" ht="15" hidden="false" customHeight="true" outlineLevel="0" collapsed="false">
      <c r="A128" s="1" t="s">
        <v>88</v>
      </c>
      <c r="B128" s="1" t="s">
        <v>73</v>
      </c>
      <c r="C128" s="7" t="n">
        <v>45261</v>
      </c>
      <c r="D128" s="6" t="n">
        <f aca="false">I127</f>
        <v>4442714.05074385</v>
      </c>
      <c r="E128" s="1" t="n">
        <v>30</v>
      </c>
      <c r="F128" s="6" t="n">
        <f aca="false">D128*((1+01_Lease_Master!$P$10)^(E128/365)-1)</f>
        <v>33263.2768868877</v>
      </c>
      <c r="G128" s="6" t="n">
        <f aca="false">SUMIFS(02_Payment_Schedule!E:E,02_Payment_Schedule!A:A,A128,02_Payment_Schedule!D:D,C128)</f>
        <v>0</v>
      </c>
      <c r="H128" s="6" t="n">
        <f aca="false">G128-F128</f>
        <v>-33263.2768868877</v>
      </c>
      <c r="I128" s="6" t="n">
        <f aca="false">MAX(0,D128+F128-G128)</f>
        <v>4475977.32763074</v>
      </c>
      <c r="J128" s="6" t="str">
        <f aca="false">IF(G128&gt;0,"YES","NO")</f>
        <v>NO</v>
      </c>
      <c r="K128" s="1" t="n">
        <f aca="false">D128+F128-G128</f>
        <v>4475977.32763074</v>
      </c>
    </row>
    <row r="129" customFormat="false" ht="15" hidden="false" customHeight="true" outlineLevel="0" collapsed="false">
      <c r="A129" s="1" t="s">
        <v>88</v>
      </c>
      <c r="B129" s="1" t="s">
        <v>73</v>
      </c>
      <c r="C129" s="7" t="n">
        <v>45292</v>
      </c>
      <c r="D129" s="6" t="n">
        <f aca="false">I128</f>
        <v>4475977.32763074</v>
      </c>
      <c r="E129" s="1" t="n">
        <v>31</v>
      </c>
      <c r="F129" s="6" t="n">
        <f aca="false">D129*((1+01_Lease_Master!$P$10)^(E129/365)-1)</f>
        <v>34633.7124515678</v>
      </c>
      <c r="G129" s="6" t="n">
        <f aca="false">SUMIFS(02_Payment_Schedule!E:E,02_Payment_Schedule!A:A,A129,02_Payment_Schedule!D:D,C129)</f>
        <v>300000</v>
      </c>
      <c r="H129" s="6" t="n">
        <f aca="false">G129-F129</f>
        <v>265366.287548432</v>
      </c>
      <c r="I129" s="6" t="n">
        <f aca="false">MAX(0,D129+F129-G129)</f>
        <v>4210611.04008231</v>
      </c>
      <c r="J129" s="6" t="str">
        <f aca="false">IF(G129&gt;0,"YES","NO")</f>
        <v>YES</v>
      </c>
      <c r="K129" s="1" t="n">
        <f aca="false">D129+F129-G129</f>
        <v>4210611.04008231</v>
      </c>
    </row>
    <row r="130" customFormat="false" ht="15" hidden="false" customHeight="true" outlineLevel="0" collapsed="false">
      <c r="A130" s="1" t="s">
        <v>88</v>
      </c>
      <c r="B130" s="1" t="s">
        <v>73</v>
      </c>
      <c r="C130" s="7" t="n">
        <v>45323</v>
      </c>
      <c r="D130" s="6" t="n">
        <f aca="false">I129</f>
        <v>4210611.04008231</v>
      </c>
      <c r="E130" s="1" t="n">
        <v>31</v>
      </c>
      <c r="F130" s="6" t="n">
        <f aca="false">D130*((1+01_Lease_Master!$P$10)^(E130/365)-1)</f>
        <v>32580.3911265116</v>
      </c>
      <c r="G130" s="6" t="n">
        <f aca="false">SUMIFS(02_Payment_Schedule!E:E,02_Payment_Schedule!A:A,A130,02_Payment_Schedule!D:D,C130)</f>
        <v>0</v>
      </c>
      <c r="H130" s="6" t="n">
        <f aca="false">G130-F130</f>
        <v>-32580.3911265116</v>
      </c>
      <c r="I130" s="6" t="n">
        <f aca="false">MAX(0,D130+F130-G130)</f>
        <v>4243191.43120882</v>
      </c>
      <c r="J130" s="6" t="str">
        <f aca="false">IF(G130&gt;0,"YES","NO")</f>
        <v>NO</v>
      </c>
      <c r="K130" s="1" t="n">
        <f aca="false">D130+F130-G130</f>
        <v>4243191.43120882</v>
      </c>
    </row>
    <row r="131" customFormat="false" ht="15" hidden="false" customHeight="true" outlineLevel="0" collapsed="false">
      <c r="A131" s="1" t="s">
        <v>88</v>
      </c>
      <c r="B131" s="1" t="s">
        <v>73</v>
      </c>
      <c r="C131" s="7" t="n">
        <v>45352</v>
      </c>
      <c r="D131" s="6" t="n">
        <f aca="false">I130</f>
        <v>4243191.43120882</v>
      </c>
      <c r="E131" s="1" t="n">
        <v>29</v>
      </c>
      <c r="F131" s="6" t="n">
        <f aca="false">D131*((1+01_Lease_Master!$P$10)^(E131/365)-1)</f>
        <v>30706.6175682774</v>
      </c>
      <c r="G131" s="6" t="n">
        <f aca="false">SUMIFS(02_Payment_Schedule!E:E,02_Payment_Schedule!A:A,A131,02_Payment_Schedule!D:D,C131)</f>
        <v>0</v>
      </c>
      <c r="H131" s="6" t="n">
        <f aca="false">G131-F131</f>
        <v>-30706.6175682774</v>
      </c>
      <c r="I131" s="6" t="n">
        <f aca="false">MAX(0,D131+F131-G131)</f>
        <v>4273898.0487771</v>
      </c>
      <c r="J131" s="6" t="str">
        <f aca="false">IF(G131&gt;0,"YES","NO")</f>
        <v>NO</v>
      </c>
      <c r="K131" s="1" t="n">
        <f aca="false">D131+F131-G131</f>
        <v>4273898.0487771</v>
      </c>
    </row>
    <row r="132" customFormat="false" ht="15" hidden="false" customHeight="true" outlineLevel="0" collapsed="false">
      <c r="A132" s="1" t="s">
        <v>88</v>
      </c>
      <c r="B132" s="1" t="s">
        <v>73</v>
      </c>
      <c r="C132" s="7" t="n">
        <v>45383</v>
      </c>
      <c r="D132" s="6" t="n">
        <f aca="false">I131</f>
        <v>4273898.0487771</v>
      </c>
      <c r="E132" s="1" t="n">
        <v>31</v>
      </c>
      <c r="F132" s="6" t="n">
        <f aca="false">D132*((1+01_Lease_Master!$P$10)^(E132/365)-1)</f>
        <v>33070.0862032772</v>
      </c>
      <c r="G132" s="6" t="n">
        <f aca="false">SUMIFS(02_Payment_Schedule!E:E,02_Payment_Schedule!A:A,A132,02_Payment_Schedule!D:D,C132)</f>
        <v>300000</v>
      </c>
      <c r="H132" s="6" t="n">
        <f aca="false">G132-F132</f>
        <v>266929.913796723</v>
      </c>
      <c r="I132" s="6" t="n">
        <f aca="false">MAX(0,D132+F132-G132)</f>
        <v>4006968.13498038</v>
      </c>
      <c r="J132" s="6" t="str">
        <f aca="false">IF(G132&gt;0,"YES","NO")</f>
        <v>YES</v>
      </c>
      <c r="K132" s="1" t="n">
        <f aca="false">D132+F132-G132</f>
        <v>4006968.13498038</v>
      </c>
    </row>
    <row r="133" customFormat="false" ht="15" hidden="false" customHeight="true" outlineLevel="0" collapsed="false">
      <c r="A133" s="1" t="s">
        <v>88</v>
      </c>
      <c r="B133" s="1" t="s">
        <v>73</v>
      </c>
      <c r="C133" s="7" t="n">
        <v>45413</v>
      </c>
      <c r="D133" s="6" t="n">
        <f aca="false">I132</f>
        <v>4006968.13498038</v>
      </c>
      <c r="E133" s="1" t="n">
        <v>30</v>
      </c>
      <c r="F133" s="6" t="n">
        <f aca="false">D133*((1+01_Lease_Master!$P$10)^(E133/365)-1)</f>
        <v>30000.7808354157</v>
      </c>
      <c r="G133" s="6" t="n">
        <f aca="false">SUMIFS(02_Payment_Schedule!E:E,02_Payment_Schedule!A:A,A133,02_Payment_Schedule!D:D,C133)</f>
        <v>0</v>
      </c>
      <c r="H133" s="6" t="n">
        <f aca="false">G133-F133</f>
        <v>-30000.7808354157</v>
      </c>
      <c r="I133" s="6" t="n">
        <f aca="false">MAX(0,D133+F133-G133)</f>
        <v>4036968.91581579</v>
      </c>
      <c r="J133" s="6" t="str">
        <f aca="false">IF(G133&gt;0,"YES","NO")</f>
        <v>NO</v>
      </c>
      <c r="K133" s="1" t="n">
        <f aca="false">D133+F133-G133</f>
        <v>4036968.91581579</v>
      </c>
    </row>
    <row r="134" customFormat="false" ht="15" hidden="false" customHeight="true" outlineLevel="0" collapsed="false">
      <c r="A134" s="1" t="s">
        <v>88</v>
      </c>
      <c r="B134" s="1" t="s">
        <v>73</v>
      </c>
      <c r="C134" s="7" t="n">
        <v>45444</v>
      </c>
      <c r="D134" s="6" t="n">
        <f aca="false">I133</f>
        <v>4036968.91581579</v>
      </c>
      <c r="E134" s="1" t="n">
        <v>31</v>
      </c>
      <c r="F134" s="6" t="n">
        <f aca="false">D134*((1+01_Lease_Master!$P$10)^(E134/365)-1)</f>
        <v>31236.8026851221</v>
      </c>
      <c r="G134" s="6" t="n">
        <f aca="false">SUMIFS(02_Payment_Schedule!E:E,02_Payment_Schedule!A:A,A134,02_Payment_Schedule!D:D,C134)</f>
        <v>0</v>
      </c>
      <c r="H134" s="6" t="n">
        <f aca="false">G134-F134</f>
        <v>-31236.8026851221</v>
      </c>
      <c r="I134" s="6" t="n">
        <f aca="false">MAX(0,D134+F134-G134)</f>
        <v>4068205.71850091</v>
      </c>
      <c r="J134" s="6" t="str">
        <f aca="false">IF(G134&gt;0,"YES","NO")</f>
        <v>NO</v>
      </c>
      <c r="K134" s="1" t="n">
        <f aca="false">D134+F134-G134</f>
        <v>4068205.71850091</v>
      </c>
    </row>
    <row r="135" customFormat="false" ht="15" hidden="false" customHeight="true" outlineLevel="0" collapsed="false">
      <c r="A135" s="1" t="s">
        <v>88</v>
      </c>
      <c r="B135" s="1" t="s">
        <v>73</v>
      </c>
      <c r="C135" s="7" t="n">
        <v>45474</v>
      </c>
      <c r="D135" s="6" t="n">
        <f aca="false">I134</f>
        <v>4068205.71850091</v>
      </c>
      <c r="E135" s="1" t="n">
        <v>30</v>
      </c>
      <c r="F135" s="6" t="n">
        <f aca="false">D135*((1+01_Lease_Master!$P$10)^(E135/365)-1)</f>
        <v>30459.2759519732</v>
      </c>
      <c r="G135" s="6" t="n">
        <f aca="false">SUMIFS(02_Payment_Schedule!E:E,02_Payment_Schedule!A:A,A135,02_Payment_Schedule!D:D,C135)</f>
        <v>312000</v>
      </c>
      <c r="H135" s="6" t="n">
        <f aca="false">G135-F135</f>
        <v>281540.724048027</v>
      </c>
      <c r="I135" s="6" t="n">
        <f aca="false">MAX(0,D135+F135-G135)</f>
        <v>3786664.99445289</v>
      </c>
      <c r="J135" s="6" t="str">
        <f aca="false">IF(G135&gt;0,"YES","NO")</f>
        <v>YES</v>
      </c>
      <c r="K135" s="1" t="n">
        <f aca="false">D135+F135-G135</f>
        <v>3786664.99445289</v>
      </c>
    </row>
    <row r="136" customFormat="false" ht="15" hidden="false" customHeight="true" outlineLevel="0" collapsed="false">
      <c r="A136" s="1" t="s">
        <v>88</v>
      </c>
      <c r="B136" s="1" t="s">
        <v>73</v>
      </c>
      <c r="C136" s="7" t="n">
        <v>45505</v>
      </c>
      <c r="D136" s="6" t="n">
        <f aca="false">I135</f>
        <v>3786664.99445289</v>
      </c>
      <c r="E136" s="1" t="n">
        <v>31</v>
      </c>
      <c r="F136" s="6" t="n">
        <f aca="false">D136*((1+01_Lease_Master!$P$10)^(E136/365)-1)</f>
        <v>29300.0292380208</v>
      </c>
      <c r="G136" s="6" t="n">
        <f aca="false">SUMIFS(02_Payment_Schedule!E:E,02_Payment_Schedule!A:A,A136,02_Payment_Schedule!D:D,C136)</f>
        <v>0</v>
      </c>
      <c r="H136" s="6" t="n">
        <f aca="false">G136-F136</f>
        <v>-29300.0292380208</v>
      </c>
      <c r="I136" s="6" t="n">
        <f aca="false">MAX(0,D136+F136-G136)</f>
        <v>3815965.02369091</v>
      </c>
      <c r="J136" s="6" t="str">
        <f aca="false">IF(G136&gt;0,"YES","NO")</f>
        <v>NO</v>
      </c>
      <c r="K136" s="1" t="n">
        <f aca="false">D136+F136-G136</f>
        <v>3815965.02369091</v>
      </c>
    </row>
    <row r="137" customFormat="false" ht="15" hidden="false" customHeight="true" outlineLevel="0" collapsed="false">
      <c r="A137" s="1" t="s">
        <v>88</v>
      </c>
      <c r="B137" s="1" t="s">
        <v>73</v>
      </c>
      <c r="C137" s="7" t="n">
        <v>45536</v>
      </c>
      <c r="D137" s="6" t="n">
        <f aca="false">I136</f>
        <v>3815965.02369091</v>
      </c>
      <c r="E137" s="1" t="n">
        <v>31</v>
      </c>
      <c r="F137" s="6" t="n">
        <f aca="false">D137*((1+01_Lease_Master!$P$10)^(E137/365)-1)</f>
        <v>29526.7436990588</v>
      </c>
      <c r="G137" s="6" t="n">
        <f aca="false">SUMIFS(02_Payment_Schedule!E:E,02_Payment_Schedule!A:A,A137,02_Payment_Schedule!D:D,C137)</f>
        <v>0</v>
      </c>
      <c r="H137" s="6" t="n">
        <f aca="false">G137-F137</f>
        <v>-29526.7436990588</v>
      </c>
      <c r="I137" s="6" t="n">
        <f aca="false">MAX(0,D137+F137-G137)</f>
        <v>3845491.76738997</v>
      </c>
      <c r="J137" s="6" t="str">
        <f aca="false">IF(G137&gt;0,"YES","NO")</f>
        <v>NO</v>
      </c>
      <c r="K137" s="1" t="n">
        <f aca="false">D137+F137-G137</f>
        <v>3845491.76738997</v>
      </c>
    </row>
    <row r="138" customFormat="false" ht="15" hidden="false" customHeight="true" outlineLevel="0" collapsed="false">
      <c r="A138" s="1" t="s">
        <v>88</v>
      </c>
      <c r="B138" s="1" t="s">
        <v>73</v>
      </c>
      <c r="C138" s="7" t="n">
        <v>45566</v>
      </c>
      <c r="D138" s="6" t="n">
        <f aca="false">I137</f>
        <v>3845491.76738997</v>
      </c>
      <c r="E138" s="1" t="n">
        <v>30</v>
      </c>
      <c r="F138" s="6" t="n">
        <f aca="false">D138*((1+01_Lease_Master!$P$10)^(E138/365)-1)</f>
        <v>28791.7826724686</v>
      </c>
      <c r="G138" s="6" t="n">
        <f aca="false">SUMIFS(02_Payment_Schedule!E:E,02_Payment_Schedule!A:A,A138,02_Payment_Schedule!D:D,C138)</f>
        <v>312000</v>
      </c>
      <c r="H138" s="6" t="n">
        <f aca="false">G138-F138</f>
        <v>283208.217327531</v>
      </c>
      <c r="I138" s="6" t="n">
        <f aca="false">MAX(0,D138+F138-G138)</f>
        <v>3562283.55006244</v>
      </c>
      <c r="J138" s="6" t="str">
        <f aca="false">IF(G138&gt;0,"YES","NO")</f>
        <v>YES</v>
      </c>
      <c r="K138" s="1" t="n">
        <f aca="false">D138+F138-G138</f>
        <v>3562283.55006244</v>
      </c>
    </row>
    <row r="139" customFormat="false" ht="15" hidden="false" customHeight="true" outlineLevel="0" collapsed="false">
      <c r="A139" s="1" t="s">
        <v>88</v>
      </c>
      <c r="B139" s="1" t="s">
        <v>73</v>
      </c>
      <c r="C139" s="7" t="n">
        <v>45597</v>
      </c>
      <c r="D139" s="6" t="n">
        <f aca="false">I138</f>
        <v>3562283.55006244</v>
      </c>
      <c r="E139" s="1" t="n">
        <v>31</v>
      </c>
      <c r="F139" s="6" t="n">
        <f aca="false">D139*((1+01_Lease_Master!$P$10)^(E139/365)-1)</f>
        <v>27563.8358090429</v>
      </c>
      <c r="G139" s="6" t="n">
        <f aca="false">SUMIFS(02_Payment_Schedule!E:E,02_Payment_Schedule!A:A,A139,02_Payment_Schedule!D:D,C139)</f>
        <v>0</v>
      </c>
      <c r="H139" s="6" t="n">
        <f aca="false">G139-F139</f>
        <v>-27563.8358090429</v>
      </c>
      <c r="I139" s="6" t="n">
        <f aca="false">MAX(0,D139+F139-G139)</f>
        <v>3589847.38587148</v>
      </c>
      <c r="J139" s="6" t="str">
        <f aca="false">IF(G139&gt;0,"YES","NO")</f>
        <v>NO</v>
      </c>
      <c r="K139" s="1" t="n">
        <f aca="false">D139+F139-G139</f>
        <v>3589847.38587148</v>
      </c>
    </row>
    <row r="140" customFormat="false" ht="15" hidden="false" customHeight="true" outlineLevel="0" collapsed="false">
      <c r="A140" s="1" t="s">
        <v>88</v>
      </c>
      <c r="B140" s="1" t="s">
        <v>73</v>
      </c>
      <c r="C140" s="7" t="n">
        <v>45627</v>
      </c>
      <c r="D140" s="6" t="n">
        <f aca="false">I139</f>
        <v>3589847.38587148</v>
      </c>
      <c r="E140" s="1" t="n">
        <v>30</v>
      </c>
      <c r="F140" s="6" t="n">
        <f aca="false">D140*((1+01_Lease_Master!$P$10)^(E140/365)-1)</f>
        <v>26877.7342439853</v>
      </c>
      <c r="G140" s="6" t="n">
        <f aca="false">SUMIFS(02_Payment_Schedule!E:E,02_Payment_Schedule!A:A,A140,02_Payment_Schedule!D:D,C140)</f>
        <v>0</v>
      </c>
      <c r="H140" s="6" t="n">
        <f aca="false">G140-F140</f>
        <v>-26877.7342439853</v>
      </c>
      <c r="I140" s="6" t="n">
        <f aca="false">MAX(0,D140+F140-G140)</f>
        <v>3616725.12011546</v>
      </c>
      <c r="J140" s="6" t="str">
        <f aca="false">IF(G140&gt;0,"YES","NO")</f>
        <v>NO</v>
      </c>
      <c r="K140" s="1" t="n">
        <f aca="false">D140+F140-G140</f>
        <v>3616725.12011546</v>
      </c>
    </row>
    <row r="141" customFormat="false" ht="15" hidden="false" customHeight="true" outlineLevel="0" collapsed="false">
      <c r="A141" s="1" t="s">
        <v>88</v>
      </c>
      <c r="B141" s="1" t="s">
        <v>73</v>
      </c>
      <c r="C141" s="7" t="n">
        <v>45658</v>
      </c>
      <c r="D141" s="6" t="n">
        <f aca="false">I140</f>
        <v>3616725.12011546</v>
      </c>
      <c r="E141" s="1" t="n">
        <v>31</v>
      </c>
      <c r="F141" s="6" t="n">
        <f aca="false">D141*((1+01_Lease_Master!$P$10)^(E141/365)-1)</f>
        <v>27985.0876484991</v>
      </c>
      <c r="G141" s="6" t="n">
        <f aca="false">SUMIFS(02_Payment_Schedule!E:E,02_Payment_Schedule!A:A,A141,02_Payment_Schedule!D:D,C141)</f>
        <v>312000</v>
      </c>
      <c r="H141" s="6" t="n">
        <f aca="false">G141-F141</f>
        <v>284014.912351501</v>
      </c>
      <c r="I141" s="6" t="n">
        <f aca="false">MAX(0,D141+F141-G141)</f>
        <v>3332710.20776396</v>
      </c>
      <c r="J141" s="6" t="str">
        <f aca="false">IF(G141&gt;0,"YES","NO")</f>
        <v>YES</v>
      </c>
      <c r="K141" s="1" t="n">
        <f aca="false">D141+F141-G141</f>
        <v>3332710.20776396</v>
      </c>
    </row>
    <row r="142" customFormat="false" ht="15" hidden="false" customHeight="true" outlineLevel="0" collapsed="false">
      <c r="A142" s="1" t="s">
        <v>88</v>
      </c>
      <c r="B142" s="1" t="s">
        <v>73</v>
      </c>
      <c r="C142" s="7" t="n">
        <v>45689</v>
      </c>
      <c r="D142" s="6" t="n">
        <f aca="false">I141</f>
        <v>3332710.20776396</v>
      </c>
      <c r="E142" s="1" t="n">
        <v>31</v>
      </c>
      <c r="F142" s="6" t="n">
        <f aca="false">D142*((1+01_Lease_Master!$P$10)^(E142/365)-1)</f>
        <v>25787.4690981063</v>
      </c>
      <c r="G142" s="6" t="n">
        <f aca="false">SUMIFS(02_Payment_Schedule!E:E,02_Payment_Schedule!A:A,A142,02_Payment_Schedule!D:D,C142)</f>
        <v>0</v>
      </c>
      <c r="H142" s="6" t="n">
        <f aca="false">G142-F142</f>
        <v>-25787.4690981063</v>
      </c>
      <c r="I142" s="6" t="n">
        <f aca="false">MAX(0,D142+F142-G142)</f>
        <v>3358497.67686207</v>
      </c>
      <c r="J142" s="6" t="str">
        <f aca="false">IF(G142&gt;0,"YES","NO")</f>
        <v>NO</v>
      </c>
      <c r="K142" s="1" t="n">
        <f aca="false">D142+F142-G142</f>
        <v>3358497.67686207</v>
      </c>
    </row>
    <row r="143" customFormat="false" ht="15" hidden="false" customHeight="true" outlineLevel="0" collapsed="false">
      <c r="A143" s="1" t="s">
        <v>88</v>
      </c>
      <c r="B143" s="1" t="s">
        <v>73</v>
      </c>
      <c r="C143" s="7" t="n">
        <v>45717</v>
      </c>
      <c r="D143" s="6" t="n">
        <f aca="false">I142</f>
        <v>3358497.67686207</v>
      </c>
      <c r="E143" s="1" t="n">
        <v>28</v>
      </c>
      <c r="F143" s="6" t="n">
        <f aca="false">D143*((1+01_Lease_Master!$P$10)^(E143/365)-1)</f>
        <v>23463.3697614018</v>
      </c>
      <c r="G143" s="6" t="n">
        <f aca="false">SUMIFS(02_Payment_Schedule!E:E,02_Payment_Schedule!A:A,A143,02_Payment_Schedule!D:D,C143)</f>
        <v>0</v>
      </c>
      <c r="H143" s="6" t="n">
        <f aca="false">G143-F143</f>
        <v>-23463.3697614018</v>
      </c>
      <c r="I143" s="6" t="n">
        <f aca="false">MAX(0,D143+F143-G143)</f>
        <v>3381961.04662347</v>
      </c>
      <c r="J143" s="6" t="str">
        <f aca="false">IF(G143&gt;0,"YES","NO")</f>
        <v>NO</v>
      </c>
      <c r="K143" s="1" t="n">
        <f aca="false">D143+F143-G143</f>
        <v>3381961.04662347</v>
      </c>
    </row>
    <row r="144" customFormat="false" ht="15" hidden="false" customHeight="true" outlineLevel="0" collapsed="false">
      <c r="A144" s="1" t="s">
        <v>88</v>
      </c>
      <c r="B144" s="1" t="s">
        <v>73</v>
      </c>
      <c r="C144" s="7" t="n">
        <v>45748</v>
      </c>
      <c r="D144" s="6" t="n">
        <f aca="false">I143</f>
        <v>3381961.04662347</v>
      </c>
      <c r="E144" s="1" t="n">
        <v>31</v>
      </c>
      <c r="F144" s="6" t="n">
        <f aca="false">D144*((1+01_Lease_Master!$P$10)^(E144/365)-1)</f>
        <v>26168.5566832754</v>
      </c>
      <c r="G144" s="6" t="n">
        <f aca="false">SUMIFS(02_Payment_Schedule!E:E,02_Payment_Schedule!A:A,A144,02_Payment_Schedule!D:D,C144)</f>
        <v>312000</v>
      </c>
      <c r="H144" s="6" t="n">
        <f aca="false">G144-F144</f>
        <v>285831.443316725</v>
      </c>
      <c r="I144" s="6" t="n">
        <f aca="false">MAX(0,D144+F144-G144)</f>
        <v>3096129.60330675</v>
      </c>
      <c r="J144" s="6" t="str">
        <f aca="false">IF(G144&gt;0,"YES","NO")</f>
        <v>YES</v>
      </c>
      <c r="K144" s="1" t="n">
        <f aca="false">D144+F144-G144</f>
        <v>3096129.60330675</v>
      </c>
    </row>
    <row r="145" customFormat="false" ht="15" hidden="false" customHeight="true" outlineLevel="0" collapsed="false">
      <c r="A145" s="1" t="s">
        <v>88</v>
      </c>
      <c r="B145" s="1" t="s">
        <v>73</v>
      </c>
      <c r="C145" s="7" t="n">
        <v>45778</v>
      </c>
      <c r="D145" s="6" t="n">
        <f aca="false">I144</f>
        <v>3096129.60330675</v>
      </c>
      <c r="E145" s="1" t="n">
        <v>30</v>
      </c>
      <c r="F145" s="6" t="n">
        <f aca="false">D145*((1+01_Lease_Master!$P$10)^(E145/365)-1)</f>
        <v>23181.193994522</v>
      </c>
      <c r="G145" s="6" t="n">
        <f aca="false">SUMIFS(02_Payment_Schedule!E:E,02_Payment_Schedule!A:A,A145,02_Payment_Schedule!D:D,C145)</f>
        <v>0</v>
      </c>
      <c r="H145" s="6" t="n">
        <f aca="false">G145-F145</f>
        <v>-23181.193994522</v>
      </c>
      <c r="I145" s="6" t="n">
        <f aca="false">MAX(0,D145+F145-G145)</f>
        <v>3119310.79730127</v>
      </c>
      <c r="J145" s="6" t="str">
        <f aca="false">IF(G145&gt;0,"YES","NO")</f>
        <v>NO</v>
      </c>
      <c r="K145" s="1" t="n">
        <f aca="false">D145+F145-G145</f>
        <v>3119310.79730127</v>
      </c>
    </row>
    <row r="146" customFormat="false" ht="15" hidden="false" customHeight="true" outlineLevel="0" collapsed="false">
      <c r="A146" s="1" t="s">
        <v>88</v>
      </c>
      <c r="B146" s="1" t="s">
        <v>73</v>
      </c>
      <c r="C146" s="7" t="n">
        <v>45809</v>
      </c>
      <c r="D146" s="6" t="n">
        <f aca="false">I145</f>
        <v>3119310.79730127</v>
      </c>
      <c r="E146" s="1" t="n">
        <v>31</v>
      </c>
      <c r="F146" s="6" t="n">
        <f aca="false">D146*((1+01_Lease_Master!$P$10)^(E146/365)-1)</f>
        <v>24136.2512124225</v>
      </c>
      <c r="G146" s="6" t="n">
        <f aca="false">SUMIFS(02_Payment_Schedule!E:E,02_Payment_Schedule!A:A,A146,02_Payment_Schedule!D:D,C146)</f>
        <v>0</v>
      </c>
      <c r="H146" s="6" t="n">
        <f aca="false">G146-F146</f>
        <v>-24136.2512124225</v>
      </c>
      <c r="I146" s="6" t="n">
        <f aca="false">MAX(0,D146+F146-G146)</f>
        <v>3143447.04851369</v>
      </c>
      <c r="J146" s="6" t="str">
        <f aca="false">IF(G146&gt;0,"YES","NO")</f>
        <v>NO</v>
      </c>
      <c r="K146" s="1" t="n">
        <f aca="false">D146+F146-G146</f>
        <v>3143447.04851369</v>
      </c>
    </row>
    <row r="147" customFormat="false" ht="15" hidden="false" customHeight="true" outlineLevel="0" collapsed="false">
      <c r="A147" s="1" t="s">
        <v>88</v>
      </c>
      <c r="B147" s="1" t="s">
        <v>73</v>
      </c>
      <c r="C147" s="7" t="n">
        <v>45839</v>
      </c>
      <c r="D147" s="6" t="n">
        <f aca="false">I146</f>
        <v>3143447.04851369</v>
      </c>
      <c r="E147" s="1" t="n">
        <v>30</v>
      </c>
      <c r="F147" s="6" t="n">
        <f aca="false">D147*((1+01_Lease_Master!$P$10)^(E147/365)-1)</f>
        <v>23535.466914976</v>
      </c>
      <c r="G147" s="6" t="n">
        <f aca="false">SUMIFS(02_Payment_Schedule!E:E,02_Payment_Schedule!A:A,A147,02_Payment_Schedule!D:D,C147)</f>
        <v>324480</v>
      </c>
      <c r="H147" s="6" t="n">
        <f aca="false">G147-F147</f>
        <v>300944.533085024</v>
      </c>
      <c r="I147" s="6" t="n">
        <f aca="false">MAX(0,D147+F147-G147)</f>
        <v>2842502.51542867</v>
      </c>
      <c r="J147" s="6" t="str">
        <f aca="false">IF(G147&gt;0,"YES","NO")</f>
        <v>YES</v>
      </c>
      <c r="K147" s="1" t="n">
        <f aca="false">D147+F147-G147</f>
        <v>2842502.51542867</v>
      </c>
    </row>
    <row r="148" customFormat="false" ht="15" hidden="false" customHeight="true" outlineLevel="0" collapsed="false">
      <c r="A148" s="1" t="s">
        <v>88</v>
      </c>
      <c r="B148" s="1" t="s">
        <v>73</v>
      </c>
      <c r="C148" s="7" t="n">
        <v>45870</v>
      </c>
      <c r="D148" s="6" t="n">
        <f aca="false">I147</f>
        <v>2842502.51542867</v>
      </c>
      <c r="E148" s="1" t="n">
        <v>31</v>
      </c>
      <c r="F148" s="6" t="n">
        <f aca="false">D148*((1+01_Lease_Master!$P$10)^(E148/365)-1)</f>
        <v>21994.3953144028</v>
      </c>
      <c r="G148" s="6" t="n">
        <f aca="false">SUMIFS(02_Payment_Schedule!E:E,02_Payment_Schedule!A:A,A148,02_Payment_Schedule!D:D,C148)</f>
        <v>0</v>
      </c>
      <c r="H148" s="6" t="n">
        <f aca="false">G148-F148</f>
        <v>-21994.3953144028</v>
      </c>
      <c r="I148" s="6" t="n">
        <f aca="false">MAX(0,D148+F148-G148)</f>
        <v>2864496.91074307</v>
      </c>
      <c r="J148" s="6" t="str">
        <f aca="false">IF(G148&gt;0,"YES","NO")</f>
        <v>NO</v>
      </c>
      <c r="K148" s="1" t="n">
        <f aca="false">D148+F148-G148</f>
        <v>2864496.91074307</v>
      </c>
    </row>
    <row r="149" customFormat="false" ht="15" hidden="false" customHeight="true" outlineLevel="0" collapsed="false">
      <c r="A149" s="1" t="s">
        <v>88</v>
      </c>
      <c r="B149" s="1" t="s">
        <v>73</v>
      </c>
      <c r="C149" s="7" t="n">
        <v>45901</v>
      </c>
      <c r="D149" s="6" t="n">
        <f aca="false">I148</f>
        <v>2864496.91074307</v>
      </c>
      <c r="E149" s="1" t="n">
        <v>31</v>
      </c>
      <c r="F149" s="6" t="n">
        <f aca="false">D149*((1+01_Lease_Master!$P$10)^(E149/365)-1)</f>
        <v>22164.5810653812</v>
      </c>
      <c r="G149" s="6" t="n">
        <f aca="false">SUMIFS(02_Payment_Schedule!E:E,02_Payment_Schedule!A:A,A149,02_Payment_Schedule!D:D,C149)</f>
        <v>0</v>
      </c>
      <c r="H149" s="6" t="n">
        <f aca="false">G149-F149</f>
        <v>-22164.5810653812</v>
      </c>
      <c r="I149" s="6" t="n">
        <f aca="false">MAX(0,D149+F149-G149)</f>
        <v>2886661.49180845</v>
      </c>
      <c r="J149" s="6" t="str">
        <f aca="false">IF(G149&gt;0,"YES","NO")</f>
        <v>NO</v>
      </c>
      <c r="K149" s="1" t="n">
        <f aca="false">D149+F149-G149</f>
        <v>2886661.49180845</v>
      </c>
    </row>
    <row r="150" customFormat="false" ht="15" hidden="false" customHeight="true" outlineLevel="0" collapsed="false">
      <c r="A150" s="1" t="s">
        <v>88</v>
      </c>
      <c r="B150" s="1" t="s">
        <v>73</v>
      </c>
      <c r="C150" s="7" t="n">
        <v>45931</v>
      </c>
      <c r="D150" s="6" t="n">
        <f aca="false">I149</f>
        <v>2886661.49180845</v>
      </c>
      <c r="E150" s="1" t="n">
        <v>30</v>
      </c>
      <c r="F150" s="6" t="n">
        <f aca="false">D150*((1+01_Lease_Master!$P$10)^(E150/365)-1)</f>
        <v>21612.8743340265</v>
      </c>
      <c r="G150" s="6" t="n">
        <f aca="false">SUMIFS(02_Payment_Schedule!E:E,02_Payment_Schedule!A:A,A150,02_Payment_Schedule!D:D,C150)</f>
        <v>324480</v>
      </c>
      <c r="H150" s="6" t="n">
        <f aca="false">G150-F150</f>
        <v>302867.125665974</v>
      </c>
      <c r="I150" s="6" t="n">
        <f aca="false">MAX(0,D150+F150-G150)</f>
        <v>2583794.36614248</v>
      </c>
      <c r="J150" s="6" t="str">
        <f aca="false">IF(G150&gt;0,"YES","NO")</f>
        <v>YES</v>
      </c>
      <c r="K150" s="1" t="n">
        <f aca="false">D150+F150-G150</f>
        <v>2583794.36614248</v>
      </c>
    </row>
    <row r="151" customFormat="false" ht="15" hidden="false" customHeight="true" outlineLevel="0" collapsed="false">
      <c r="A151" s="1" t="s">
        <v>88</v>
      </c>
      <c r="B151" s="1" t="s">
        <v>73</v>
      </c>
      <c r="C151" s="7" t="n">
        <v>45962</v>
      </c>
      <c r="D151" s="6" t="n">
        <f aca="false">I150</f>
        <v>2583794.36614248</v>
      </c>
      <c r="E151" s="1" t="n">
        <v>31</v>
      </c>
      <c r="F151" s="6" t="n">
        <f aca="false">D151*((1+01_Lease_Master!$P$10)^(E151/365)-1)</f>
        <v>19992.5925805185</v>
      </c>
      <c r="G151" s="6" t="n">
        <f aca="false">SUMIFS(02_Payment_Schedule!E:E,02_Payment_Schedule!A:A,A151,02_Payment_Schedule!D:D,C151)</f>
        <v>0</v>
      </c>
      <c r="H151" s="6" t="n">
        <f aca="false">G151-F151</f>
        <v>-19992.5925805185</v>
      </c>
      <c r="I151" s="6" t="n">
        <f aca="false">MAX(0,D151+F151-G151)</f>
        <v>2603786.958723</v>
      </c>
      <c r="J151" s="6" t="str">
        <f aca="false">IF(G151&gt;0,"YES","NO")</f>
        <v>NO</v>
      </c>
      <c r="K151" s="1" t="n">
        <f aca="false">D151+F151-G151</f>
        <v>2603786.958723</v>
      </c>
    </row>
    <row r="152" customFormat="false" ht="15" hidden="false" customHeight="true" outlineLevel="0" collapsed="false">
      <c r="A152" s="1" t="s">
        <v>88</v>
      </c>
      <c r="B152" s="1" t="s">
        <v>73</v>
      </c>
      <c r="C152" s="7" t="n">
        <v>45992</v>
      </c>
      <c r="D152" s="6" t="n">
        <f aca="false">I151</f>
        <v>2603786.958723</v>
      </c>
      <c r="E152" s="1" t="n">
        <v>30</v>
      </c>
      <c r="F152" s="6" t="n">
        <f aca="false">D152*((1+01_Lease_Master!$P$10)^(E152/365)-1)</f>
        <v>19494.9496126065</v>
      </c>
      <c r="G152" s="6" t="n">
        <f aca="false">SUMIFS(02_Payment_Schedule!E:E,02_Payment_Schedule!A:A,A152,02_Payment_Schedule!D:D,C152)</f>
        <v>0</v>
      </c>
      <c r="H152" s="6" t="n">
        <f aca="false">G152-F152</f>
        <v>-19494.9496126065</v>
      </c>
      <c r="I152" s="6" t="n">
        <f aca="false">MAX(0,D152+F152-G152)</f>
        <v>2623281.9083356</v>
      </c>
      <c r="J152" s="6" t="str">
        <f aca="false">IF(G152&gt;0,"YES","NO")</f>
        <v>NO</v>
      </c>
      <c r="K152" s="1" t="n">
        <f aca="false">D152+F152-G152</f>
        <v>2623281.9083356</v>
      </c>
    </row>
    <row r="153" customFormat="false" ht="15" hidden="false" customHeight="true" outlineLevel="0" collapsed="false">
      <c r="A153" s="1" t="s">
        <v>88</v>
      </c>
      <c r="B153" s="1" t="s">
        <v>73</v>
      </c>
      <c r="C153" s="7" t="n">
        <v>46023</v>
      </c>
      <c r="D153" s="6" t="n">
        <f aca="false">I152</f>
        <v>2623281.9083356</v>
      </c>
      <c r="E153" s="1" t="n">
        <v>31</v>
      </c>
      <c r="F153" s="6" t="n">
        <f aca="false">D153*((1+01_Lease_Master!$P$10)^(E153/365)-1)</f>
        <v>20298.1348300946</v>
      </c>
      <c r="G153" s="6" t="n">
        <f aca="false">SUMIFS(02_Payment_Schedule!E:E,02_Payment_Schedule!A:A,A153,02_Payment_Schedule!D:D,C153)</f>
        <v>324480</v>
      </c>
      <c r="H153" s="6" t="n">
        <f aca="false">G153-F153</f>
        <v>304181.865169906</v>
      </c>
      <c r="I153" s="6" t="n">
        <f aca="false">MAX(0,D153+F153-G153)</f>
        <v>2319100.0431657</v>
      </c>
      <c r="J153" s="6" t="str">
        <f aca="false">IF(G153&gt;0,"YES","NO")</f>
        <v>YES</v>
      </c>
      <c r="K153" s="1" t="n">
        <f aca="false">D153+F153-G153</f>
        <v>2319100.0431657</v>
      </c>
    </row>
    <row r="154" customFormat="false" ht="15" hidden="false" customHeight="true" outlineLevel="0" collapsed="false">
      <c r="A154" s="1" t="s">
        <v>88</v>
      </c>
      <c r="B154" s="1" t="s">
        <v>73</v>
      </c>
      <c r="C154" s="7" t="n">
        <v>46054</v>
      </c>
      <c r="D154" s="6" t="n">
        <f aca="false">I153</f>
        <v>2319100.0431657</v>
      </c>
      <c r="E154" s="1" t="n">
        <v>31</v>
      </c>
      <c r="F154" s="6" t="n">
        <f aca="false">D154*((1+01_Lease_Master!$P$10)^(E154/365)-1)</f>
        <v>17944.4707071236</v>
      </c>
      <c r="G154" s="6" t="n">
        <f aca="false">SUMIFS(02_Payment_Schedule!E:E,02_Payment_Schedule!A:A,A154,02_Payment_Schedule!D:D,C154)</f>
        <v>0</v>
      </c>
      <c r="H154" s="6" t="n">
        <f aca="false">G154-F154</f>
        <v>-17944.4707071236</v>
      </c>
      <c r="I154" s="6" t="n">
        <f aca="false">MAX(0,D154+F154-G154)</f>
        <v>2337044.51387282</v>
      </c>
      <c r="J154" s="6" t="str">
        <f aca="false">IF(G154&gt;0,"YES","NO")</f>
        <v>NO</v>
      </c>
      <c r="K154" s="1" t="n">
        <f aca="false">D154+F154-G154</f>
        <v>2337044.51387282</v>
      </c>
    </row>
    <row r="155" customFormat="false" ht="15" hidden="false" customHeight="true" outlineLevel="0" collapsed="false">
      <c r="A155" s="1" t="s">
        <v>88</v>
      </c>
      <c r="B155" s="1" t="s">
        <v>73</v>
      </c>
      <c r="C155" s="7" t="n">
        <v>46082</v>
      </c>
      <c r="D155" s="6" t="n">
        <f aca="false">I154</f>
        <v>2337044.51387282</v>
      </c>
      <c r="E155" s="1" t="n">
        <v>28</v>
      </c>
      <c r="F155" s="6" t="n">
        <f aca="false">D155*((1+01_Lease_Master!$P$10)^(E155/365)-1)</f>
        <v>16327.2227209301</v>
      </c>
      <c r="G155" s="6" t="n">
        <f aca="false">SUMIFS(02_Payment_Schedule!E:E,02_Payment_Schedule!A:A,A155,02_Payment_Schedule!D:D,C155)</f>
        <v>0</v>
      </c>
      <c r="H155" s="6" t="n">
        <f aca="false">G155-F155</f>
        <v>-16327.2227209301</v>
      </c>
      <c r="I155" s="6" t="n">
        <f aca="false">MAX(0,D155+F155-G155)</f>
        <v>2353371.73659375</v>
      </c>
      <c r="J155" s="6" t="str">
        <f aca="false">IF(G155&gt;0,"YES","NO")</f>
        <v>NO</v>
      </c>
      <c r="K155" s="1" t="n">
        <f aca="false">D155+F155-G155</f>
        <v>2353371.73659375</v>
      </c>
    </row>
    <row r="156" customFormat="false" ht="15" hidden="false" customHeight="true" outlineLevel="0" collapsed="false">
      <c r="A156" s="1" t="s">
        <v>88</v>
      </c>
      <c r="B156" s="1" t="s">
        <v>73</v>
      </c>
      <c r="C156" s="7" t="n">
        <v>46113</v>
      </c>
      <c r="D156" s="6" t="n">
        <f aca="false">I155</f>
        <v>2353371.73659375</v>
      </c>
      <c r="E156" s="1" t="n">
        <v>31</v>
      </c>
      <c r="F156" s="6" t="n">
        <f aca="false">D156*((1+01_Lease_Master!$P$10)^(E156/365)-1)</f>
        <v>18209.654350501</v>
      </c>
      <c r="G156" s="6" t="n">
        <f aca="false">SUMIFS(02_Payment_Schedule!E:E,02_Payment_Schedule!A:A,A156,02_Payment_Schedule!D:D,C156)</f>
        <v>324480</v>
      </c>
      <c r="H156" s="6" t="n">
        <f aca="false">G156-F156</f>
        <v>306270.345649499</v>
      </c>
      <c r="I156" s="6" t="n">
        <f aca="false">MAX(0,D156+F156-G156)</f>
        <v>2047101.39094425</v>
      </c>
      <c r="J156" s="6" t="str">
        <f aca="false">IF(G156&gt;0,"YES","NO")</f>
        <v>YES</v>
      </c>
      <c r="K156" s="1" t="n">
        <f aca="false">D156+F156-G156</f>
        <v>2047101.39094425</v>
      </c>
    </row>
    <row r="157" customFormat="false" ht="15" hidden="false" customHeight="true" outlineLevel="0" collapsed="false">
      <c r="A157" s="1" t="s">
        <v>88</v>
      </c>
      <c r="B157" s="1" t="s">
        <v>73</v>
      </c>
      <c r="C157" s="7" t="n">
        <v>46143</v>
      </c>
      <c r="D157" s="6" t="n">
        <f aca="false">I156</f>
        <v>2047101.39094425</v>
      </c>
      <c r="E157" s="1" t="n">
        <v>30</v>
      </c>
      <c r="F157" s="6" t="n">
        <f aca="false">D157*((1+01_Lease_Master!$P$10)^(E157/365)-1)</f>
        <v>15326.9599629331</v>
      </c>
      <c r="G157" s="6" t="n">
        <f aca="false">SUMIFS(02_Payment_Schedule!E:E,02_Payment_Schedule!A:A,A157,02_Payment_Schedule!D:D,C157)</f>
        <v>0</v>
      </c>
      <c r="H157" s="6" t="n">
        <f aca="false">G157-F157</f>
        <v>-15326.9599629331</v>
      </c>
      <c r="I157" s="6" t="n">
        <f aca="false">MAX(0,D157+F157-G157)</f>
        <v>2062428.35090718</v>
      </c>
      <c r="J157" s="6" t="str">
        <f aca="false">IF(G157&gt;0,"YES","NO")</f>
        <v>NO</v>
      </c>
      <c r="K157" s="1" t="n">
        <f aca="false">D157+F157-G157</f>
        <v>2062428.35090718</v>
      </c>
    </row>
    <row r="158" customFormat="false" ht="15" hidden="false" customHeight="true" outlineLevel="0" collapsed="false">
      <c r="A158" s="1" t="s">
        <v>88</v>
      </c>
      <c r="B158" s="1" t="s">
        <v>73</v>
      </c>
      <c r="C158" s="7" t="n">
        <v>46174</v>
      </c>
      <c r="D158" s="6" t="n">
        <f aca="false">I157</f>
        <v>2062428.35090718</v>
      </c>
      <c r="E158" s="1" t="n">
        <v>31</v>
      </c>
      <c r="F158" s="6" t="n">
        <f aca="false">D158*((1+01_Lease_Master!$P$10)^(E158/365)-1)</f>
        <v>15958.4254407049</v>
      </c>
      <c r="G158" s="6" t="n">
        <f aca="false">SUMIFS(02_Payment_Schedule!E:E,02_Payment_Schedule!A:A,A158,02_Payment_Schedule!D:D,C158)</f>
        <v>0</v>
      </c>
      <c r="H158" s="6" t="n">
        <f aca="false">G158-F158</f>
        <v>-15958.4254407049</v>
      </c>
      <c r="I158" s="6" t="n">
        <f aca="false">MAX(0,D158+F158-G158)</f>
        <v>2078386.77634789</v>
      </c>
      <c r="J158" s="6" t="str">
        <f aca="false">IF(G158&gt;0,"YES","NO")</f>
        <v>NO</v>
      </c>
      <c r="K158" s="1" t="n">
        <f aca="false">D158+F158-G158</f>
        <v>2078386.77634789</v>
      </c>
    </row>
    <row r="159" customFormat="false" ht="15" hidden="false" customHeight="true" outlineLevel="0" collapsed="false">
      <c r="A159" s="1" t="s">
        <v>88</v>
      </c>
      <c r="B159" s="1" t="s">
        <v>73</v>
      </c>
      <c r="C159" s="7" t="n">
        <v>46204</v>
      </c>
      <c r="D159" s="6" t="n">
        <f aca="false">I158</f>
        <v>2078386.77634789</v>
      </c>
      <c r="E159" s="1" t="n">
        <v>30</v>
      </c>
      <c r="F159" s="6" t="n">
        <f aca="false">D159*((1+01_Lease_Master!$P$10)^(E159/365)-1)</f>
        <v>15561.1984093666</v>
      </c>
      <c r="G159" s="6" t="n">
        <f aca="false">SUMIFS(02_Payment_Schedule!E:E,02_Payment_Schedule!A:A,A159,02_Payment_Schedule!D:D,C159)</f>
        <v>330000</v>
      </c>
      <c r="H159" s="6" t="n">
        <f aca="false">G159-F159</f>
        <v>314438.801590633</v>
      </c>
      <c r="I159" s="6" t="n">
        <f aca="false">MAX(0,D159+F159-G159)</f>
        <v>1763947.97475726</v>
      </c>
      <c r="J159" s="6" t="str">
        <f aca="false">IF(G159&gt;0,"YES","NO")</f>
        <v>YES</v>
      </c>
      <c r="K159" s="1" t="n">
        <f aca="false">D159+F159-G159</f>
        <v>1763947.97475726</v>
      </c>
    </row>
    <row r="160" customFormat="false" ht="15" hidden="false" customHeight="true" outlineLevel="0" collapsed="false">
      <c r="A160" s="1" t="s">
        <v>88</v>
      </c>
      <c r="B160" s="1" t="s">
        <v>73</v>
      </c>
      <c r="C160" s="7" t="n">
        <v>46235</v>
      </c>
      <c r="D160" s="6" t="n">
        <f aca="false">I159</f>
        <v>1763947.97475726</v>
      </c>
      <c r="E160" s="1" t="n">
        <v>31</v>
      </c>
      <c r="F160" s="6" t="n">
        <f aca="false">D160*((1+01_Lease_Master!$P$10)^(E160/365)-1)</f>
        <v>13648.8776563142</v>
      </c>
      <c r="G160" s="6" t="n">
        <f aca="false">SUMIFS(02_Payment_Schedule!E:E,02_Payment_Schedule!A:A,A160,02_Payment_Schedule!D:D,C160)</f>
        <v>0</v>
      </c>
      <c r="H160" s="6" t="n">
        <f aca="false">G160-F160</f>
        <v>-13648.8776563142</v>
      </c>
      <c r="I160" s="6" t="n">
        <f aca="false">MAX(0,D160+F160-G160)</f>
        <v>1777596.85241357</v>
      </c>
      <c r="J160" s="6" t="str">
        <f aca="false">IF(G160&gt;0,"YES","NO")</f>
        <v>NO</v>
      </c>
      <c r="K160" s="1" t="n">
        <f aca="false">D160+F160-G160</f>
        <v>1777596.85241357</v>
      </c>
    </row>
    <row r="161" customFormat="false" ht="15" hidden="false" customHeight="true" outlineLevel="0" collapsed="false">
      <c r="A161" s="1" t="s">
        <v>88</v>
      </c>
      <c r="B161" s="1" t="s">
        <v>73</v>
      </c>
      <c r="C161" s="7" t="n">
        <v>46266</v>
      </c>
      <c r="D161" s="6" t="n">
        <f aca="false">I160</f>
        <v>1777596.85241357</v>
      </c>
      <c r="E161" s="1" t="n">
        <v>31</v>
      </c>
      <c r="F161" s="6" t="n">
        <f aca="false">D161*((1+01_Lease_Master!$P$10)^(E161/365)-1)</f>
        <v>13754.4884021769</v>
      </c>
      <c r="G161" s="6" t="n">
        <f aca="false">SUMIFS(02_Payment_Schedule!E:E,02_Payment_Schedule!A:A,A161,02_Payment_Schedule!D:D,C161)</f>
        <v>0</v>
      </c>
      <c r="H161" s="6" t="n">
        <f aca="false">G161-F161</f>
        <v>-13754.4884021769</v>
      </c>
      <c r="I161" s="6" t="n">
        <f aca="false">MAX(0,D161+F161-G161)</f>
        <v>1791351.34081575</v>
      </c>
      <c r="J161" s="6" t="str">
        <f aca="false">IF(G161&gt;0,"YES","NO")</f>
        <v>NO</v>
      </c>
      <c r="K161" s="1" t="n">
        <f aca="false">D161+F161-G161</f>
        <v>1791351.34081575</v>
      </c>
    </row>
    <row r="162" customFormat="false" ht="15" hidden="false" customHeight="true" outlineLevel="0" collapsed="false">
      <c r="A162" s="1" t="s">
        <v>88</v>
      </c>
      <c r="B162" s="1" t="s">
        <v>73</v>
      </c>
      <c r="C162" s="7" t="n">
        <v>46271</v>
      </c>
      <c r="D162" s="6" t="n">
        <f aca="false">I161</f>
        <v>1791351.34081575</v>
      </c>
      <c r="E162" s="1" t="n">
        <v>5</v>
      </c>
      <c r="F162" s="6" t="n">
        <f aca="false">D162*((1+01_Lease_Master!$P$10)^(E162/365)-1)</f>
        <v>2228.41162209219</v>
      </c>
      <c r="G162" s="6" t="n">
        <f aca="false">SUMIFS(02_Payment_Schedule!E:E,02_Payment_Schedule!A:A,A162,02_Payment_Schedule!D:D,C162)</f>
        <v>0</v>
      </c>
      <c r="H162" s="6" t="n">
        <f aca="false">G162-F162</f>
        <v>-2228.41162209219</v>
      </c>
      <c r="I162" s="6" t="n">
        <f aca="false">MAX(0,D162+F162-G162)</f>
        <v>1793579.75243784</v>
      </c>
      <c r="J162" s="6" t="str">
        <f aca="false">IF(G162&gt;0,"YES","NO")</f>
        <v>NO</v>
      </c>
      <c r="K162" s="1" t="n">
        <f aca="false">D162+F162-G162</f>
        <v>1793579.75243784</v>
      </c>
    </row>
    <row r="163" customFormat="false" ht="15" hidden="false" customHeight="true" outlineLevel="0" collapsed="false">
      <c r="A163" s="1" t="s">
        <v>91</v>
      </c>
      <c r="B163" s="1" t="s">
        <v>73</v>
      </c>
      <c r="C163" s="7" t="n">
        <v>46204</v>
      </c>
      <c r="D163" s="6" t="n">
        <f aca="false">03_Initial_Recognition!$B$11</f>
        <v>3406262.77890827</v>
      </c>
      <c r="E163" s="1" t="n">
        <v>0</v>
      </c>
      <c r="F163" s="6" t="n">
        <f aca="false">D163*((1+01_Lease_Master!$P$11)^(E163/365)-1)</f>
        <v>0</v>
      </c>
      <c r="G163" s="6" t="n">
        <f aca="false">SUMIFS(02_Payment_Schedule!E:E,02_Payment_Schedule!A:A,A163,02_Payment_Schedule!D:D,C163)</f>
        <v>0</v>
      </c>
      <c r="H163" s="6" t="n">
        <f aca="false">G163-F163</f>
        <v>0</v>
      </c>
      <c r="I163" s="6" t="n">
        <f aca="false">MAX(0,D163+F163-G163)</f>
        <v>3406262.77890827</v>
      </c>
      <c r="J163" s="6" t="str">
        <f aca="false">IF(G163&gt;0,"YES","NO")</f>
        <v>NO</v>
      </c>
      <c r="K163" s="1" t="n">
        <f aca="false">D163+F163-G163</f>
        <v>3406262.77890827</v>
      </c>
    </row>
    <row r="164" customFormat="false" ht="15" hidden="false" customHeight="true" outlineLevel="0" collapsed="false">
      <c r="A164" s="1" t="s">
        <v>91</v>
      </c>
      <c r="B164" s="1" t="s">
        <v>73</v>
      </c>
      <c r="C164" s="7" t="n">
        <v>46235</v>
      </c>
      <c r="D164" s="6" t="n">
        <f aca="false">I163</f>
        <v>3406262.77890827</v>
      </c>
      <c r="E164" s="1" t="n">
        <v>31</v>
      </c>
      <c r="F164" s="6" t="n">
        <f aca="false">D164*((1+01_Lease_Master!$P$11)^(E164/365)-1)</f>
        <v>23682.962606912</v>
      </c>
      <c r="G164" s="6" t="n">
        <f aca="false">SUMIFS(02_Payment_Schedule!E:E,02_Payment_Schedule!A:A,A164,02_Payment_Schedule!D:D,C164)</f>
        <v>0</v>
      </c>
      <c r="H164" s="6" t="n">
        <f aca="false">G164-F164</f>
        <v>-23682.962606912</v>
      </c>
      <c r="I164" s="6" t="n">
        <f aca="false">MAX(0,D164+F164-G164)</f>
        <v>3429945.74151518</v>
      </c>
      <c r="J164" s="6" t="str">
        <f aca="false">IF(G164&gt;0,"YES","NO")</f>
        <v>NO</v>
      </c>
      <c r="K164" s="1" t="n">
        <f aca="false">D164+F164-G164</f>
        <v>3429945.74151518</v>
      </c>
    </row>
    <row r="165" customFormat="false" ht="15" hidden="false" customHeight="true" outlineLevel="0" collapsed="false">
      <c r="A165" s="1" t="s">
        <v>91</v>
      </c>
      <c r="B165" s="1" t="s">
        <v>73</v>
      </c>
      <c r="C165" s="7" t="n">
        <v>46266</v>
      </c>
      <c r="D165" s="6" t="n">
        <f aca="false">I164</f>
        <v>3429945.74151518</v>
      </c>
      <c r="E165" s="1" t="n">
        <v>31</v>
      </c>
      <c r="F165" s="6" t="n">
        <f aca="false">D165*((1+01_Lease_Master!$P$11)^(E165/365)-1)</f>
        <v>23847.624805411</v>
      </c>
      <c r="G165" s="6" t="n">
        <f aca="false">SUMIFS(02_Payment_Schedule!E:E,02_Payment_Schedule!A:A,A165,02_Payment_Schedule!D:D,C165)</f>
        <v>0</v>
      </c>
      <c r="H165" s="6" t="n">
        <f aca="false">G165-F165</f>
        <v>-23847.624805411</v>
      </c>
      <c r="I165" s="6" t="n">
        <f aca="false">MAX(0,D165+F165-G165)</f>
        <v>3453793.36632059</v>
      </c>
      <c r="J165" s="6" t="str">
        <f aca="false">IF(G165&gt;0,"YES","NO")</f>
        <v>NO</v>
      </c>
      <c r="K165" s="1" t="n">
        <f aca="false">D165+F165-G165</f>
        <v>3453793.36632059</v>
      </c>
    </row>
    <row r="166" customFormat="false" ht="15" hidden="false" customHeight="true" outlineLevel="0" collapsed="false">
      <c r="A166" s="1" t="s">
        <v>91</v>
      </c>
      <c r="B166" s="1" t="s">
        <v>73</v>
      </c>
      <c r="C166" s="7" t="n">
        <v>46271</v>
      </c>
      <c r="D166" s="6" t="n">
        <f aca="false">I165</f>
        <v>3453793.36632059</v>
      </c>
      <c r="E166" s="1" t="n">
        <v>5</v>
      </c>
      <c r="F166" s="6" t="n">
        <f aca="false">D166*((1+01_Lease_Master!$P$11)^(E166/365)-1)</f>
        <v>3861.88924652078</v>
      </c>
      <c r="G166" s="6" t="n">
        <f aca="false">SUMIFS(02_Payment_Schedule!E:E,02_Payment_Schedule!A:A,A166,02_Payment_Schedule!D:D,C166)</f>
        <v>0</v>
      </c>
      <c r="H166" s="6" t="n">
        <f aca="false">G166-F166</f>
        <v>-3861.88924652078</v>
      </c>
      <c r="I166" s="6" t="n">
        <f aca="false">MAX(0,D166+F166-G166)</f>
        <v>3457655.25556711</v>
      </c>
      <c r="J166" s="6" t="str">
        <f aca="false">IF(G166&gt;0,"YES","NO")</f>
        <v>NO</v>
      </c>
      <c r="K166" s="1" t="n">
        <f aca="false">D166+F166-G166</f>
        <v>3457655.25556711</v>
      </c>
    </row>
    <row r="167" customFormat="false" ht="15" hidden="false" customHeight="true" outlineLevel="0" collapsed="false">
      <c r="A167" s="1" t="s">
        <v>94</v>
      </c>
      <c r="B167" s="1" t="s">
        <v>73</v>
      </c>
      <c r="C167" s="7" t="n">
        <v>45566</v>
      </c>
      <c r="D167" s="6" t="n">
        <f aca="false">03_Initial_Recognition!$B$12</f>
        <v>1927065.38824619</v>
      </c>
      <c r="E167" s="1" t="n">
        <v>0</v>
      </c>
      <c r="F167" s="6" t="n">
        <f aca="false">D167*((1+01_Lease_Master!$P$12)^(E167/365)-1)</f>
        <v>0</v>
      </c>
      <c r="G167" s="6" t="n">
        <f aca="false">SUMIFS(02_Payment_Schedule!E:E,02_Payment_Schedule!A:A,A167,02_Payment_Schedule!D:D,C167)</f>
        <v>200000</v>
      </c>
      <c r="H167" s="6" t="n">
        <f aca="false">G167-F167</f>
        <v>200000</v>
      </c>
      <c r="I167" s="6" t="n">
        <f aca="false">MAX(0,D167+F167-G167)</f>
        <v>1727065.38824619</v>
      </c>
      <c r="J167" s="6" t="str">
        <f aca="false">IF(G167&gt;0,"YES","NO")</f>
        <v>YES</v>
      </c>
      <c r="K167" s="1" t="n">
        <f aca="false">D167+F167-G167</f>
        <v>1727065.38824619</v>
      </c>
    </row>
    <row r="168" customFormat="false" ht="15" hidden="false" customHeight="true" outlineLevel="0" collapsed="false">
      <c r="A168" s="1" t="s">
        <v>94</v>
      </c>
      <c r="B168" s="1" t="s">
        <v>73</v>
      </c>
      <c r="C168" s="7" t="n">
        <v>45597</v>
      </c>
      <c r="D168" s="6" t="n">
        <f aca="false">I167</f>
        <v>1727065.38824619</v>
      </c>
      <c r="E168" s="1" t="n">
        <v>31</v>
      </c>
      <c r="F168" s="6" t="n">
        <f aca="false">D168*((1+01_Lease_Master!$P$12)^(E168/365)-1)</f>
        <v>14037.050301084</v>
      </c>
      <c r="G168" s="6" t="n">
        <f aca="false">SUMIFS(02_Payment_Schedule!E:E,02_Payment_Schedule!A:A,A168,02_Payment_Schedule!D:D,C168)</f>
        <v>0</v>
      </c>
      <c r="H168" s="6" t="n">
        <f aca="false">G168-F168</f>
        <v>-14037.050301084</v>
      </c>
      <c r="I168" s="6" t="n">
        <f aca="false">MAX(0,D168+F168-G168)</f>
        <v>1741102.43854728</v>
      </c>
      <c r="J168" s="6" t="str">
        <f aca="false">IF(G168&gt;0,"YES","NO")</f>
        <v>NO</v>
      </c>
      <c r="K168" s="1" t="n">
        <f aca="false">D168+F168-G168</f>
        <v>1741102.43854728</v>
      </c>
    </row>
    <row r="169" customFormat="false" ht="15" hidden="false" customHeight="true" outlineLevel="0" collapsed="false">
      <c r="A169" s="1" t="s">
        <v>94</v>
      </c>
      <c r="B169" s="1" t="s">
        <v>73</v>
      </c>
      <c r="C169" s="7" t="n">
        <v>45627</v>
      </c>
      <c r="D169" s="6" t="n">
        <f aca="false">I168</f>
        <v>1741102.43854728</v>
      </c>
      <c r="E169" s="1" t="n">
        <v>30</v>
      </c>
      <c r="F169" s="6" t="n">
        <f aca="false">D169*((1+01_Lease_Master!$P$12)^(E169/365)-1)</f>
        <v>13692.8604667191</v>
      </c>
      <c r="G169" s="6" t="n">
        <f aca="false">SUMIFS(02_Payment_Schedule!E:E,02_Payment_Schedule!A:A,A169,02_Payment_Schedule!D:D,C169)</f>
        <v>0</v>
      </c>
      <c r="H169" s="6" t="n">
        <f aca="false">G169-F169</f>
        <v>-13692.8604667191</v>
      </c>
      <c r="I169" s="6" t="n">
        <f aca="false">MAX(0,D169+F169-G169)</f>
        <v>1754795.299014</v>
      </c>
      <c r="J169" s="6" t="str">
        <f aca="false">IF(G169&gt;0,"YES","NO")</f>
        <v>NO</v>
      </c>
      <c r="K169" s="1" t="n">
        <f aca="false">D169+F169-G169</f>
        <v>1754795.299014</v>
      </c>
    </row>
    <row r="170" customFormat="false" ht="15" hidden="false" customHeight="true" outlineLevel="0" collapsed="false">
      <c r="A170" s="1" t="s">
        <v>94</v>
      </c>
      <c r="B170" s="1" t="s">
        <v>73</v>
      </c>
      <c r="C170" s="7" t="n">
        <v>45658</v>
      </c>
      <c r="D170" s="6" t="n">
        <f aca="false">I169</f>
        <v>1754795.299014</v>
      </c>
      <c r="E170" s="1" t="n">
        <v>31</v>
      </c>
      <c r="F170" s="6" t="n">
        <f aca="false">D170*((1+01_Lease_Master!$P$12)^(E170/365)-1)</f>
        <v>14262.4303908833</v>
      </c>
      <c r="G170" s="6" t="n">
        <f aca="false">SUMIFS(02_Payment_Schedule!E:E,02_Payment_Schedule!A:A,A170,02_Payment_Schedule!D:D,C170)</f>
        <v>0</v>
      </c>
      <c r="H170" s="6" t="n">
        <f aca="false">G170-F170</f>
        <v>-14262.4303908833</v>
      </c>
      <c r="I170" s="6" t="n">
        <f aca="false">MAX(0,D170+F170-G170)</f>
        <v>1769057.72940488</v>
      </c>
      <c r="J170" s="6" t="str">
        <f aca="false">IF(G170&gt;0,"YES","NO")</f>
        <v>NO</v>
      </c>
      <c r="K170" s="1" t="n">
        <f aca="false">D170+F170-G170</f>
        <v>1769057.72940488</v>
      </c>
    </row>
    <row r="171" customFormat="false" ht="15" hidden="false" customHeight="true" outlineLevel="0" collapsed="false">
      <c r="A171" s="1" t="s">
        <v>94</v>
      </c>
      <c r="B171" s="1" t="s">
        <v>73</v>
      </c>
      <c r="C171" s="7" t="n">
        <v>45689</v>
      </c>
      <c r="D171" s="6" t="n">
        <f aca="false">I170</f>
        <v>1769057.72940488</v>
      </c>
      <c r="E171" s="1" t="n">
        <v>31</v>
      </c>
      <c r="F171" s="6" t="n">
        <f aca="false">D171*((1+01_Lease_Master!$P$12)^(E171/365)-1)</f>
        <v>14378.3509890118</v>
      </c>
      <c r="G171" s="6" t="n">
        <f aca="false">SUMIFS(02_Payment_Schedule!E:E,02_Payment_Schedule!A:A,A171,02_Payment_Schedule!D:D,C171)</f>
        <v>0</v>
      </c>
      <c r="H171" s="6" t="n">
        <f aca="false">G171-F171</f>
        <v>-14378.3509890118</v>
      </c>
      <c r="I171" s="6" t="n">
        <f aca="false">MAX(0,D171+F171-G171)</f>
        <v>1783436.08039389</v>
      </c>
      <c r="J171" s="6" t="str">
        <f aca="false">IF(G171&gt;0,"YES","NO")</f>
        <v>NO</v>
      </c>
      <c r="K171" s="1" t="n">
        <f aca="false">D171+F171-G171</f>
        <v>1783436.08039389</v>
      </c>
    </row>
    <row r="172" customFormat="false" ht="15" hidden="false" customHeight="true" outlineLevel="0" collapsed="false">
      <c r="A172" s="1" t="s">
        <v>94</v>
      </c>
      <c r="B172" s="1" t="s">
        <v>73</v>
      </c>
      <c r="C172" s="7" t="n">
        <v>45717</v>
      </c>
      <c r="D172" s="6" t="n">
        <f aca="false">I171</f>
        <v>1783436.08039389</v>
      </c>
      <c r="E172" s="1" t="n">
        <v>28</v>
      </c>
      <c r="F172" s="6" t="n">
        <f aca="false">D172*((1+01_Lease_Master!$P$12)^(E172/365)-1)</f>
        <v>13087.3174298549</v>
      </c>
      <c r="G172" s="6" t="n">
        <f aca="false">SUMIFS(02_Payment_Schedule!E:E,02_Payment_Schedule!A:A,A172,02_Payment_Schedule!D:D,C172)</f>
        <v>0</v>
      </c>
      <c r="H172" s="6" t="n">
        <f aca="false">G172-F172</f>
        <v>-13087.3174298549</v>
      </c>
      <c r="I172" s="6" t="n">
        <f aca="false">MAX(0,D172+F172-G172)</f>
        <v>1796523.39782375</v>
      </c>
      <c r="J172" s="6" t="str">
        <f aca="false">IF(G172&gt;0,"YES","NO")</f>
        <v>NO</v>
      </c>
      <c r="K172" s="1" t="n">
        <f aca="false">D172+F172-G172</f>
        <v>1796523.39782375</v>
      </c>
    </row>
    <row r="173" customFormat="false" ht="15" hidden="false" customHeight="true" outlineLevel="0" collapsed="false">
      <c r="A173" s="1" t="s">
        <v>94</v>
      </c>
      <c r="B173" s="1" t="s">
        <v>73</v>
      </c>
      <c r="C173" s="7" t="n">
        <v>45748</v>
      </c>
      <c r="D173" s="6" t="n">
        <f aca="false">I172</f>
        <v>1796523.39782375</v>
      </c>
      <c r="E173" s="1" t="n">
        <v>31</v>
      </c>
      <c r="F173" s="6" t="n">
        <f aca="false">D173*((1+01_Lease_Master!$P$12)^(E173/365)-1)</f>
        <v>14601.5833991871</v>
      </c>
      <c r="G173" s="6" t="n">
        <f aca="false">SUMIFS(02_Payment_Schedule!E:E,02_Payment_Schedule!A:A,A173,02_Payment_Schedule!D:D,C173)</f>
        <v>200000</v>
      </c>
      <c r="H173" s="6" t="n">
        <f aca="false">G173-F173</f>
        <v>185398.416600813</v>
      </c>
      <c r="I173" s="6" t="n">
        <f aca="false">MAX(0,D173+F173-G173)</f>
        <v>1611124.98122293</v>
      </c>
      <c r="J173" s="6" t="str">
        <f aca="false">IF(G173&gt;0,"YES","NO")</f>
        <v>YES</v>
      </c>
      <c r="K173" s="1" t="n">
        <f aca="false">D173+F173-G173</f>
        <v>1611124.98122293</v>
      </c>
    </row>
    <row r="174" customFormat="false" ht="15" hidden="false" customHeight="true" outlineLevel="0" collapsed="false">
      <c r="A174" s="1" t="s">
        <v>94</v>
      </c>
      <c r="B174" s="1" t="s">
        <v>73</v>
      </c>
      <c r="C174" s="7" t="n">
        <v>45778</v>
      </c>
      <c r="D174" s="6" t="n">
        <f aca="false">I173</f>
        <v>1611124.98122293</v>
      </c>
      <c r="E174" s="1" t="n">
        <v>30</v>
      </c>
      <c r="F174" s="6" t="n">
        <f aca="false">D174*((1+01_Lease_Master!$P$12)^(E174/365)-1)</f>
        <v>12670.6557143978</v>
      </c>
      <c r="G174" s="6" t="n">
        <f aca="false">SUMIFS(02_Payment_Schedule!E:E,02_Payment_Schedule!A:A,A174,02_Payment_Schedule!D:D,C174)</f>
        <v>0</v>
      </c>
      <c r="H174" s="6" t="n">
        <f aca="false">G174-F174</f>
        <v>-12670.6557143978</v>
      </c>
      <c r="I174" s="6" t="n">
        <f aca="false">MAX(0,D174+F174-G174)</f>
        <v>1623795.63693733</v>
      </c>
      <c r="J174" s="6" t="str">
        <f aca="false">IF(G174&gt;0,"YES","NO")</f>
        <v>NO</v>
      </c>
      <c r="K174" s="1" t="n">
        <f aca="false">D174+F174-G174</f>
        <v>1623795.63693733</v>
      </c>
    </row>
    <row r="175" customFormat="false" ht="15" hidden="false" customHeight="true" outlineLevel="0" collapsed="false">
      <c r="A175" s="1" t="s">
        <v>94</v>
      </c>
      <c r="B175" s="1" t="s">
        <v>73</v>
      </c>
      <c r="C175" s="7" t="n">
        <v>45809</v>
      </c>
      <c r="D175" s="6" t="n">
        <f aca="false">I174</f>
        <v>1623795.63693733</v>
      </c>
      <c r="E175" s="1" t="n">
        <v>31</v>
      </c>
      <c r="F175" s="6" t="n">
        <f aca="false">D175*((1+01_Lease_Master!$P$12)^(E175/365)-1)</f>
        <v>13197.7058827612</v>
      </c>
      <c r="G175" s="6" t="n">
        <f aca="false">SUMIFS(02_Payment_Schedule!E:E,02_Payment_Schedule!A:A,A175,02_Payment_Schedule!D:D,C175)</f>
        <v>0</v>
      </c>
      <c r="H175" s="6" t="n">
        <f aca="false">G175-F175</f>
        <v>-13197.7058827612</v>
      </c>
      <c r="I175" s="6" t="n">
        <f aca="false">MAX(0,D175+F175-G175)</f>
        <v>1636993.34282009</v>
      </c>
      <c r="J175" s="6" t="str">
        <f aca="false">IF(G175&gt;0,"YES","NO")</f>
        <v>NO</v>
      </c>
      <c r="K175" s="1" t="n">
        <f aca="false">D175+F175-G175</f>
        <v>1636993.34282009</v>
      </c>
    </row>
    <row r="176" customFormat="false" ht="15" hidden="false" customHeight="true" outlineLevel="0" collapsed="false">
      <c r="A176" s="1" t="s">
        <v>94</v>
      </c>
      <c r="B176" s="1" t="s">
        <v>73</v>
      </c>
      <c r="C176" s="7" t="n">
        <v>45839</v>
      </c>
      <c r="D176" s="6" t="n">
        <f aca="false">I175</f>
        <v>1636993.34282009</v>
      </c>
      <c r="E176" s="1" t="n">
        <v>30</v>
      </c>
      <c r="F176" s="6" t="n">
        <f aca="false">D176*((1+01_Lease_Master!$P$12)^(E176/365)-1)</f>
        <v>12874.0968549134</v>
      </c>
      <c r="G176" s="6" t="n">
        <f aca="false">SUMIFS(02_Payment_Schedule!E:E,02_Payment_Schedule!A:A,A176,02_Payment_Schedule!D:D,C176)</f>
        <v>0</v>
      </c>
      <c r="H176" s="6" t="n">
        <f aca="false">G176-F176</f>
        <v>-12874.0968549134</v>
      </c>
      <c r="I176" s="6" t="n">
        <f aca="false">MAX(0,D176+F176-G176)</f>
        <v>1649867.43967501</v>
      </c>
      <c r="J176" s="6" t="str">
        <f aca="false">IF(G176&gt;0,"YES","NO")</f>
        <v>NO</v>
      </c>
      <c r="K176" s="1" t="n">
        <f aca="false">D176+F176-G176</f>
        <v>1649867.43967501</v>
      </c>
    </row>
    <row r="177" customFormat="false" ht="15" hidden="false" customHeight="true" outlineLevel="0" collapsed="false">
      <c r="A177" s="1" t="s">
        <v>94</v>
      </c>
      <c r="B177" s="1" t="s">
        <v>73</v>
      </c>
      <c r="C177" s="7" t="n">
        <v>45870</v>
      </c>
      <c r="D177" s="6" t="n">
        <f aca="false">I176</f>
        <v>1649867.43967501</v>
      </c>
      <c r="E177" s="1" t="n">
        <v>31</v>
      </c>
      <c r="F177" s="6" t="n">
        <f aca="false">D177*((1+01_Lease_Master!$P$12)^(E177/365)-1)</f>
        <v>13409.6093862182</v>
      </c>
      <c r="G177" s="6" t="n">
        <f aca="false">SUMIFS(02_Payment_Schedule!E:E,02_Payment_Schedule!A:A,A177,02_Payment_Schedule!D:D,C177)</f>
        <v>0</v>
      </c>
      <c r="H177" s="6" t="n">
        <f aca="false">G177-F177</f>
        <v>-13409.6093862182</v>
      </c>
      <c r="I177" s="6" t="n">
        <f aca="false">MAX(0,D177+F177-G177)</f>
        <v>1663277.04906122</v>
      </c>
      <c r="J177" s="6" t="str">
        <f aca="false">IF(G177&gt;0,"YES","NO")</f>
        <v>NO</v>
      </c>
      <c r="K177" s="1" t="n">
        <f aca="false">D177+F177-G177</f>
        <v>1663277.04906122</v>
      </c>
    </row>
    <row r="178" customFormat="false" ht="15" hidden="false" customHeight="true" outlineLevel="0" collapsed="false">
      <c r="A178" s="1" t="s">
        <v>94</v>
      </c>
      <c r="B178" s="1" t="s">
        <v>73</v>
      </c>
      <c r="C178" s="7" t="n">
        <v>45901</v>
      </c>
      <c r="D178" s="6" t="n">
        <f aca="false">I177</f>
        <v>1663277.04906122</v>
      </c>
      <c r="E178" s="1" t="n">
        <v>31</v>
      </c>
      <c r="F178" s="6" t="n">
        <f aca="false">D178*((1+01_Lease_Master!$P$12)^(E178/365)-1)</f>
        <v>13518.5985204764</v>
      </c>
      <c r="G178" s="6" t="n">
        <f aca="false">SUMIFS(02_Payment_Schedule!E:E,02_Payment_Schedule!A:A,A178,02_Payment_Schedule!D:D,C178)</f>
        <v>0</v>
      </c>
      <c r="H178" s="6" t="n">
        <f aca="false">G178-F178</f>
        <v>-13518.5985204764</v>
      </c>
      <c r="I178" s="6" t="n">
        <f aca="false">MAX(0,D178+F178-G178)</f>
        <v>1676795.6475817</v>
      </c>
      <c r="J178" s="6" t="str">
        <f aca="false">IF(G178&gt;0,"YES","NO")</f>
        <v>NO</v>
      </c>
      <c r="K178" s="1" t="n">
        <f aca="false">D178+F178-G178</f>
        <v>1676795.6475817</v>
      </c>
    </row>
    <row r="179" customFormat="false" ht="15" hidden="false" customHeight="true" outlineLevel="0" collapsed="false">
      <c r="A179" s="1" t="s">
        <v>94</v>
      </c>
      <c r="B179" s="1" t="s">
        <v>73</v>
      </c>
      <c r="C179" s="7" t="n">
        <v>45931</v>
      </c>
      <c r="D179" s="6" t="n">
        <f aca="false">I178</f>
        <v>1676795.6475817</v>
      </c>
      <c r="E179" s="1" t="n">
        <v>30</v>
      </c>
      <c r="F179" s="6" t="n">
        <f aca="false">D179*((1+01_Lease_Master!$P$12)^(E179/365)-1)</f>
        <v>13187.1211740392</v>
      </c>
      <c r="G179" s="6" t="n">
        <f aca="false">SUMIFS(02_Payment_Schedule!E:E,02_Payment_Schedule!A:A,A179,02_Payment_Schedule!D:D,C179)</f>
        <v>210000</v>
      </c>
      <c r="H179" s="6" t="n">
        <f aca="false">G179-F179</f>
        <v>196812.878825961</v>
      </c>
      <c r="I179" s="6" t="n">
        <f aca="false">MAX(0,D179+F179-G179)</f>
        <v>1479982.76875574</v>
      </c>
      <c r="J179" s="6" t="str">
        <f aca="false">IF(G179&gt;0,"YES","NO")</f>
        <v>YES</v>
      </c>
      <c r="K179" s="1" t="n">
        <f aca="false">D179+F179-G179</f>
        <v>1479982.76875574</v>
      </c>
    </row>
    <row r="180" customFormat="false" ht="15" hidden="false" customHeight="true" outlineLevel="0" collapsed="false">
      <c r="A180" s="1" t="s">
        <v>94</v>
      </c>
      <c r="B180" s="1" t="s">
        <v>73</v>
      </c>
      <c r="C180" s="7" t="n">
        <v>45962</v>
      </c>
      <c r="D180" s="6" t="n">
        <f aca="false">I179</f>
        <v>1479982.76875574</v>
      </c>
      <c r="E180" s="1" t="n">
        <v>31</v>
      </c>
      <c r="F180" s="6" t="n">
        <f aca="false">D180*((1+01_Lease_Master!$P$12)^(E180/365)-1)</f>
        <v>12028.8396207501</v>
      </c>
      <c r="G180" s="6" t="n">
        <f aca="false">SUMIFS(02_Payment_Schedule!E:E,02_Payment_Schedule!A:A,A180,02_Payment_Schedule!D:D,C180)</f>
        <v>0</v>
      </c>
      <c r="H180" s="6" t="n">
        <f aca="false">G180-F180</f>
        <v>-12028.8396207501</v>
      </c>
      <c r="I180" s="6" t="n">
        <f aca="false">MAX(0,D180+F180-G180)</f>
        <v>1492011.60837649</v>
      </c>
      <c r="J180" s="6" t="str">
        <f aca="false">IF(G180&gt;0,"YES","NO")</f>
        <v>NO</v>
      </c>
      <c r="K180" s="1" t="n">
        <f aca="false">D180+F180-G180</f>
        <v>1492011.60837649</v>
      </c>
    </row>
    <row r="181" customFormat="false" ht="15" hidden="false" customHeight="true" outlineLevel="0" collapsed="false">
      <c r="A181" s="1" t="s">
        <v>94</v>
      </c>
      <c r="B181" s="1" t="s">
        <v>73</v>
      </c>
      <c r="C181" s="7" t="n">
        <v>45992</v>
      </c>
      <c r="D181" s="6" t="n">
        <f aca="false">I180</f>
        <v>1492011.60837649</v>
      </c>
      <c r="E181" s="1" t="n">
        <v>30</v>
      </c>
      <c r="F181" s="6" t="n">
        <f aca="false">D181*((1+01_Lease_Master!$P$12)^(E181/365)-1)</f>
        <v>11733.8913069759</v>
      </c>
      <c r="G181" s="6" t="n">
        <f aca="false">SUMIFS(02_Payment_Schedule!E:E,02_Payment_Schedule!A:A,A181,02_Payment_Schedule!D:D,C181)</f>
        <v>0</v>
      </c>
      <c r="H181" s="6" t="n">
        <f aca="false">G181-F181</f>
        <v>-11733.8913069759</v>
      </c>
      <c r="I181" s="6" t="n">
        <f aca="false">MAX(0,D181+F181-G181)</f>
        <v>1503745.49968347</v>
      </c>
      <c r="J181" s="6" t="str">
        <f aca="false">IF(G181&gt;0,"YES","NO")</f>
        <v>NO</v>
      </c>
      <c r="K181" s="1" t="n">
        <f aca="false">D181+F181-G181</f>
        <v>1503745.49968347</v>
      </c>
    </row>
    <row r="182" customFormat="false" ht="15" hidden="false" customHeight="true" outlineLevel="0" collapsed="false">
      <c r="A182" s="1" t="s">
        <v>94</v>
      </c>
      <c r="B182" s="1" t="s">
        <v>73</v>
      </c>
      <c r="C182" s="7" t="n">
        <v>46023</v>
      </c>
      <c r="D182" s="6" t="n">
        <f aca="false">I181</f>
        <v>1503745.49968347</v>
      </c>
      <c r="E182" s="1" t="n">
        <v>31</v>
      </c>
      <c r="F182" s="6" t="n">
        <f aca="false">D182*((1+01_Lease_Master!$P$12)^(E182/365)-1)</f>
        <v>12221.9757067337</v>
      </c>
      <c r="G182" s="6" t="n">
        <f aca="false">SUMIFS(02_Payment_Schedule!E:E,02_Payment_Schedule!A:A,A182,02_Payment_Schedule!D:D,C182)</f>
        <v>0</v>
      </c>
      <c r="H182" s="6" t="n">
        <f aca="false">G182-F182</f>
        <v>-12221.9757067337</v>
      </c>
      <c r="I182" s="6" t="n">
        <f aca="false">MAX(0,D182+F182-G182)</f>
        <v>1515967.4753902</v>
      </c>
      <c r="J182" s="6" t="str">
        <f aca="false">IF(G182&gt;0,"YES","NO")</f>
        <v>NO</v>
      </c>
      <c r="K182" s="1" t="n">
        <f aca="false">D182+F182-G182</f>
        <v>1515967.4753902</v>
      </c>
    </row>
    <row r="183" customFormat="false" ht="15" hidden="false" customHeight="true" outlineLevel="0" collapsed="false">
      <c r="A183" s="1" t="s">
        <v>94</v>
      </c>
      <c r="B183" s="1" t="s">
        <v>73</v>
      </c>
      <c r="C183" s="7" t="n">
        <v>46054</v>
      </c>
      <c r="D183" s="6" t="n">
        <f aca="false">I182</f>
        <v>1515967.4753902</v>
      </c>
      <c r="E183" s="1" t="n">
        <v>31</v>
      </c>
      <c r="F183" s="6" t="n">
        <f aca="false">D183*((1+01_Lease_Master!$P$12)^(E183/365)-1)</f>
        <v>12321.3121238384</v>
      </c>
      <c r="G183" s="6" t="n">
        <f aca="false">SUMIFS(02_Payment_Schedule!E:E,02_Payment_Schedule!A:A,A183,02_Payment_Schedule!D:D,C183)</f>
        <v>0</v>
      </c>
      <c r="H183" s="6" t="n">
        <f aca="false">G183-F183</f>
        <v>-12321.3121238384</v>
      </c>
      <c r="I183" s="6" t="n">
        <f aca="false">MAX(0,D183+F183-G183)</f>
        <v>1528288.78751404</v>
      </c>
      <c r="J183" s="6" t="str">
        <f aca="false">IF(G183&gt;0,"YES","NO")</f>
        <v>NO</v>
      </c>
      <c r="K183" s="1" t="n">
        <f aca="false">D183+F183-G183</f>
        <v>1528288.78751404</v>
      </c>
    </row>
    <row r="184" customFormat="false" ht="15" hidden="false" customHeight="true" outlineLevel="0" collapsed="false">
      <c r="A184" s="1" t="s">
        <v>94</v>
      </c>
      <c r="B184" s="1" t="s">
        <v>73</v>
      </c>
      <c r="C184" s="7" t="n">
        <v>46082</v>
      </c>
      <c r="D184" s="6" t="n">
        <f aca="false">I183</f>
        <v>1528288.78751404</v>
      </c>
      <c r="E184" s="1" t="n">
        <v>28</v>
      </c>
      <c r="F184" s="6" t="n">
        <f aca="false">D184*((1+01_Lease_Master!$P$12)^(E184/365)-1)</f>
        <v>11214.9802880891</v>
      </c>
      <c r="G184" s="6" t="n">
        <f aca="false">SUMIFS(02_Payment_Schedule!E:E,02_Payment_Schedule!A:A,A184,02_Payment_Schedule!D:D,C184)</f>
        <v>0</v>
      </c>
      <c r="H184" s="6" t="n">
        <f aca="false">G184-F184</f>
        <v>-11214.9802880891</v>
      </c>
      <c r="I184" s="6" t="n">
        <f aca="false">MAX(0,D184+F184-G184)</f>
        <v>1539503.76780213</v>
      </c>
      <c r="J184" s="6" t="str">
        <f aca="false">IF(G184&gt;0,"YES","NO")</f>
        <v>NO</v>
      </c>
      <c r="K184" s="1" t="n">
        <f aca="false">D184+F184-G184</f>
        <v>1539503.76780213</v>
      </c>
    </row>
    <row r="185" customFormat="false" ht="15" hidden="false" customHeight="true" outlineLevel="0" collapsed="false">
      <c r="A185" s="1" t="s">
        <v>94</v>
      </c>
      <c r="B185" s="1" t="s">
        <v>73</v>
      </c>
      <c r="C185" s="7" t="n">
        <v>46113</v>
      </c>
      <c r="D185" s="6" t="n">
        <f aca="false">I184</f>
        <v>1539503.76780213</v>
      </c>
      <c r="E185" s="1" t="n">
        <v>31</v>
      </c>
      <c r="F185" s="6" t="n">
        <f aca="false">D185*((1+01_Lease_Master!$P$12)^(E185/365)-1)</f>
        <v>12512.6077879955</v>
      </c>
      <c r="G185" s="6" t="n">
        <f aca="false">SUMIFS(02_Payment_Schedule!E:E,02_Payment_Schedule!A:A,A185,02_Payment_Schedule!D:D,C185)</f>
        <v>240000</v>
      </c>
      <c r="H185" s="6" t="n">
        <f aca="false">G185-F185</f>
        <v>227487.392212005</v>
      </c>
      <c r="I185" s="6" t="n">
        <f aca="false">MAX(0,D185+F185-G185)</f>
        <v>1312016.37559012</v>
      </c>
      <c r="J185" s="6" t="str">
        <f aca="false">IF(G185&gt;0,"YES","NO")</f>
        <v>YES</v>
      </c>
      <c r="K185" s="1" t="n">
        <f aca="false">D185+F185-G185</f>
        <v>1312016.37559012</v>
      </c>
    </row>
    <row r="186" customFormat="false" ht="15" hidden="false" customHeight="true" outlineLevel="0" collapsed="false">
      <c r="A186" s="1" t="s">
        <v>94</v>
      </c>
      <c r="B186" s="1" t="s">
        <v>73</v>
      </c>
      <c r="C186" s="7" t="n">
        <v>46143</v>
      </c>
      <c r="D186" s="6" t="n">
        <f aca="false">I185</f>
        <v>1312016.37559012</v>
      </c>
      <c r="E186" s="1" t="n">
        <v>30</v>
      </c>
      <c r="F186" s="6" t="n">
        <f aca="false">D186*((1+01_Lease_Master!$P$12)^(E186/365)-1)</f>
        <v>10318.3228989075</v>
      </c>
      <c r="G186" s="6" t="n">
        <f aca="false">SUMIFS(02_Payment_Schedule!E:E,02_Payment_Schedule!A:A,A186,02_Payment_Schedule!D:D,C186)</f>
        <v>0</v>
      </c>
      <c r="H186" s="6" t="n">
        <f aca="false">G186-F186</f>
        <v>-10318.3228989075</v>
      </c>
      <c r="I186" s="6" t="n">
        <f aca="false">MAX(0,D186+F186-G186)</f>
        <v>1322334.69848903</v>
      </c>
      <c r="J186" s="6" t="str">
        <f aca="false">IF(G186&gt;0,"YES","NO")</f>
        <v>NO</v>
      </c>
      <c r="K186" s="1" t="n">
        <f aca="false">D186+F186-G186</f>
        <v>1322334.69848903</v>
      </c>
    </row>
    <row r="187" customFormat="false" ht="15" hidden="false" customHeight="true" outlineLevel="0" collapsed="false">
      <c r="A187" s="1" t="s">
        <v>94</v>
      </c>
      <c r="B187" s="1" t="s">
        <v>73</v>
      </c>
      <c r="C187" s="7" t="n">
        <v>46174</v>
      </c>
      <c r="D187" s="6" t="n">
        <f aca="false">I186</f>
        <v>1322334.69848903</v>
      </c>
      <c r="E187" s="1" t="n">
        <v>31</v>
      </c>
      <c r="F187" s="6" t="n">
        <f aca="false">D187*((1+01_Lease_Master!$P$12)^(E187/365)-1)</f>
        <v>10747.5251393975</v>
      </c>
      <c r="G187" s="6" t="n">
        <f aca="false">SUMIFS(02_Payment_Schedule!E:E,02_Payment_Schedule!A:A,A187,02_Payment_Schedule!D:D,C187)</f>
        <v>0</v>
      </c>
      <c r="H187" s="6" t="n">
        <f aca="false">G187-F187</f>
        <v>-10747.5251393975</v>
      </c>
      <c r="I187" s="6" t="n">
        <f aca="false">MAX(0,D187+F187-G187)</f>
        <v>1333082.22362843</v>
      </c>
      <c r="J187" s="6" t="str">
        <f aca="false">IF(G187&gt;0,"YES","NO")</f>
        <v>NO</v>
      </c>
      <c r="K187" s="1" t="n">
        <f aca="false">D187+F187-G187</f>
        <v>1333082.22362843</v>
      </c>
    </row>
    <row r="188" customFormat="false" ht="15" hidden="false" customHeight="true" outlineLevel="0" collapsed="false">
      <c r="A188" s="1" t="s">
        <v>94</v>
      </c>
      <c r="B188" s="1" t="s">
        <v>73</v>
      </c>
      <c r="C188" s="7" t="n">
        <v>46204</v>
      </c>
      <c r="D188" s="6" t="n">
        <f aca="false">I187</f>
        <v>1333082.22362843</v>
      </c>
      <c r="E188" s="1" t="n">
        <v>30</v>
      </c>
      <c r="F188" s="6" t="n">
        <f aca="false">D188*((1+01_Lease_Master!$P$12)^(E188/365)-1)</f>
        <v>10483.9947809377</v>
      </c>
      <c r="G188" s="6" t="n">
        <f aca="false">SUMIFS(02_Payment_Schedule!E:E,02_Payment_Schedule!A:A,A188,02_Payment_Schedule!D:D,C188)</f>
        <v>0</v>
      </c>
      <c r="H188" s="6" t="n">
        <f aca="false">G188-F188</f>
        <v>-10483.9947809377</v>
      </c>
      <c r="I188" s="6" t="n">
        <f aca="false">MAX(0,D188+F188-G188)</f>
        <v>1343566.21840936</v>
      </c>
      <c r="J188" s="6" t="str">
        <f aca="false">IF(G188&gt;0,"YES","NO")</f>
        <v>NO</v>
      </c>
      <c r="K188" s="1" t="n">
        <f aca="false">D188+F188-G188</f>
        <v>1343566.21840936</v>
      </c>
    </row>
    <row r="189" customFormat="false" ht="15" hidden="false" customHeight="true" outlineLevel="0" collapsed="false">
      <c r="A189" s="1" t="s">
        <v>94</v>
      </c>
      <c r="B189" s="1" t="s">
        <v>73</v>
      </c>
      <c r="C189" s="7" t="n">
        <v>46235</v>
      </c>
      <c r="D189" s="6" t="n">
        <f aca="false">I188</f>
        <v>1343566.21840936</v>
      </c>
      <c r="E189" s="1" t="n">
        <v>31</v>
      </c>
      <c r="F189" s="6" t="n">
        <f aca="false">D189*((1+01_Lease_Master!$P$12)^(E189/365)-1)</f>
        <v>10920.0883296036</v>
      </c>
      <c r="G189" s="6" t="n">
        <f aca="false">SUMIFS(02_Payment_Schedule!E:E,02_Payment_Schedule!A:A,A189,02_Payment_Schedule!D:D,C189)</f>
        <v>0</v>
      </c>
      <c r="H189" s="6" t="n">
        <f aca="false">G189-F189</f>
        <v>-10920.0883296036</v>
      </c>
      <c r="I189" s="6" t="n">
        <f aca="false">MAX(0,D189+F189-G189)</f>
        <v>1354486.30673897</v>
      </c>
      <c r="J189" s="6" t="str">
        <f aca="false">IF(G189&gt;0,"YES","NO")</f>
        <v>NO</v>
      </c>
      <c r="K189" s="1" t="n">
        <f aca="false">D189+F189-G189</f>
        <v>1354486.30673897</v>
      </c>
    </row>
    <row r="190" customFormat="false" ht="15" hidden="false" customHeight="true" outlineLevel="0" collapsed="false">
      <c r="A190" s="1" t="s">
        <v>94</v>
      </c>
      <c r="B190" s="1" t="s">
        <v>73</v>
      </c>
      <c r="C190" s="7" t="n">
        <v>46266</v>
      </c>
      <c r="D190" s="6" t="n">
        <f aca="false">I189</f>
        <v>1354486.30673897</v>
      </c>
      <c r="E190" s="1" t="n">
        <v>31</v>
      </c>
      <c r="F190" s="6" t="n">
        <f aca="false">D190*((1+01_Lease_Master!$P$12)^(E190/365)-1)</f>
        <v>11008.8434110371</v>
      </c>
      <c r="G190" s="6" t="n">
        <f aca="false">SUMIFS(02_Payment_Schedule!E:E,02_Payment_Schedule!A:A,A190,02_Payment_Schedule!D:D,C190)</f>
        <v>0</v>
      </c>
      <c r="H190" s="6" t="n">
        <f aca="false">G190-F190</f>
        <v>-11008.8434110371</v>
      </c>
      <c r="I190" s="6" t="n">
        <f aca="false">MAX(0,D190+F190-G190)</f>
        <v>1365495.15015001</v>
      </c>
      <c r="J190" s="6" t="str">
        <f aca="false">IF(G190&gt;0,"YES","NO")</f>
        <v>NO</v>
      </c>
      <c r="K190" s="1" t="n">
        <f aca="false">D190+F190-G190</f>
        <v>1365495.15015001</v>
      </c>
    </row>
    <row r="191" customFormat="false" ht="15" hidden="false" customHeight="true" outlineLevel="0" collapsed="false">
      <c r="A191" s="1" t="s">
        <v>94</v>
      </c>
      <c r="B191" s="1" t="s">
        <v>73</v>
      </c>
      <c r="C191" s="7" t="n">
        <v>46271</v>
      </c>
      <c r="D191" s="6" t="n">
        <f aca="false">I190</f>
        <v>1365495.15015001</v>
      </c>
      <c r="E191" s="1" t="n">
        <v>5</v>
      </c>
      <c r="F191" s="6" t="n">
        <f aca="false">D191*((1+01_Lease_Master!$P$12)^(E191/365)-1)</f>
        <v>1783.98062383621</v>
      </c>
      <c r="G191" s="6" t="n">
        <f aca="false">SUMIFS(02_Payment_Schedule!E:E,02_Payment_Schedule!A:A,A191,02_Payment_Schedule!D:D,C191)</f>
        <v>0</v>
      </c>
      <c r="H191" s="6" t="n">
        <f aca="false">G191-F191</f>
        <v>-1783.98062383621</v>
      </c>
      <c r="I191" s="6" t="n">
        <f aca="false">MAX(0,D191+F191-G191)</f>
        <v>1367279.13077384</v>
      </c>
      <c r="J191" s="6" t="str">
        <f aca="false">IF(G191&gt;0,"YES","NO")</f>
        <v>NO</v>
      </c>
      <c r="K191" s="1" t="n">
        <f aca="false">D191+F191-G191</f>
        <v>1367279.13077384</v>
      </c>
    </row>
    <row r="192" customFormat="false" ht="15" hidden="false" customHeight="true" outlineLevel="0" collapsed="false">
      <c r="A192" s="1" t="s">
        <v>97</v>
      </c>
      <c r="B192" s="1" t="s">
        <v>73</v>
      </c>
      <c r="C192" s="7" t="n">
        <v>44927</v>
      </c>
      <c r="D192" s="6" t="n">
        <f aca="false">03_Initial_Recognition!$B$13</f>
        <v>58951.2706803806</v>
      </c>
      <c r="E192" s="1" t="n">
        <v>0</v>
      </c>
      <c r="F192" s="6" t="n">
        <f aca="false">D192*((1+01_Lease_Master!$P$13)^(E192/365)-1)</f>
        <v>0</v>
      </c>
      <c r="G192" s="6" t="n">
        <f aca="false">SUMIFS(02_Payment_Schedule!E:E,02_Payment_Schedule!A:A,A192,02_Payment_Schedule!D:D,C192)</f>
        <v>18000</v>
      </c>
      <c r="H192" s="6" t="n">
        <f aca="false">G192-F192</f>
        <v>18000</v>
      </c>
      <c r="I192" s="6" t="n">
        <f aca="false">MAX(0,D192+F192-G192)</f>
        <v>40951.2706803806</v>
      </c>
      <c r="J192" s="6" t="str">
        <f aca="false">IF(G192&gt;0,"YES","NO")</f>
        <v>YES</v>
      </c>
      <c r="K192" s="1" t="n">
        <f aca="false">D192+F192-G192</f>
        <v>40951.2706803806</v>
      </c>
    </row>
    <row r="193" customFormat="false" ht="15" hidden="false" customHeight="true" outlineLevel="0" collapsed="false">
      <c r="A193" s="1" t="s">
        <v>97</v>
      </c>
      <c r="B193" s="1" t="s">
        <v>73</v>
      </c>
      <c r="C193" s="7" t="n">
        <v>44958</v>
      </c>
      <c r="D193" s="6" t="n">
        <f aca="false">I192</f>
        <v>40951.2706803806</v>
      </c>
      <c r="E193" s="1" t="n">
        <v>31</v>
      </c>
      <c r="F193" s="6" t="n">
        <f aca="false">D193*((1+01_Lease_Master!$P$13)^(E193/365)-1)</f>
        <v>284.724777616785</v>
      </c>
      <c r="G193" s="6" t="n">
        <f aca="false">SUMIFS(02_Payment_Schedule!E:E,02_Payment_Schedule!A:A,A193,02_Payment_Schedule!D:D,C193)</f>
        <v>0</v>
      </c>
      <c r="H193" s="6" t="n">
        <f aca="false">G193-F193</f>
        <v>-284.724777616785</v>
      </c>
      <c r="I193" s="6" t="n">
        <f aca="false">MAX(0,D193+F193-G193)</f>
        <v>41235.9954579974</v>
      </c>
      <c r="J193" s="6" t="str">
        <f aca="false">IF(G193&gt;0,"YES","NO")</f>
        <v>NO</v>
      </c>
      <c r="K193" s="1" t="n">
        <f aca="false">D193+F193-G193</f>
        <v>41235.9954579974</v>
      </c>
    </row>
    <row r="194" customFormat="false" ht="15" hidden="false" customHeight="true" outlineLevel="0" collapsed="false">
      <c r="A194" s="1" t="s">
        <v>97</v>
      </c>
      <c r="B194" s="1" t="s">
        <v>73</v>
      </c>
      <c r="C194" s="7" t="n">
        <v>44986</v>
      </c>
      <c r="D194" s="6" t="n">
        <f aca="false">I193</f>
        <v>41235.9954579974</v>
      </c>
      <c r="E194" s="1" t="n">
        <v>28</v>
      </c>
      <c r="F194" s="6" t="n">
        <f aca="false">D194*((1+01_Lease_Master!$P$13)^(E194/365)-1)</f>
        <v>258.871916732266</v>
      </c>
      <c r="G194" s="6" t="n">
        <f aca="false">SUMIFS(02_Payment_Schedule!E:E,02_Payment_Schedule!A:A,A194,02_Payment_Schedule!D:D,C194)</f>
        <v>0</v>
      </c>
      <c r="H194" s="6" t="n">
        <f aca="false">G194-F194</f>
        <v>-258.871916732266</v>
      </c>
      <c r="I194" s="6" t="n">
        <f aca="false">MAX(0,D194+F194-G194)</f>
        <v>41494.8673747297</v>
      </c>
      <c r="J194" s="6" t="str">
        <f aca="false">IF(G194&gt;0,"YES","NO")</f>
        <v>NO</v>
      </c>
      <c r="K194" s="1" t="n">
        <f aca="false">D194+F194-G194</f>
        <v>41494.8673747297</v>
      </c>
    </row>
    <row r="195" customFormat="false" ht="15" hidden="false" customHeight="true" outlineLevel="0" collapsed="false">
      <c r="A195" s="1" t="s">
        <v>97</v>
      </c>
      <c r="B195" s="1" t="s">
        <v>73</v>
      </c>
      <c r="C195" s="7" t="n">
        <v>45017</v>
      </c>
      <c r="D195" s="6" t="n">
        <f aca="false">I194</f>
        <v>41494.8673747297</v>
      </c>
      <c r="E195" s="1" t="n">
        <v>31</v>
      </c>
      <c r="F195" s="6" t="n">
        <f aca="false">D195*((1+01_Lease_Master!$P$13)^(E195/365)-1)</f>
        <v>288.50428055626</v>
      </c>
      <c r="G195" s="6" t="n">
        <f aca="false">SUMIFS(02_Payment_Schedule!E:E,02_Payment_Schedule!A:A,A195,02_Payment_Schedule!D:D,C195)</f>
        <v>0</v>
      </c>
      <c r="H195" s="6" t="n">
        <f aca="false">G195-F195</f>
        <v>-288.50428055626</v>
      </c>
      <c r="I195" s="6" t="n">
        <f aca="false">MAX(0,D195+F195-G195)</f>
        <v>41783.371655286</v>
      </c>
      <c r="J195" s="6" t="str">
        <f aca="false">IF(G195&gt;0,"YES","NO")</f>
        <v>NO</v>
      </c>
      <c r="K195" s="1" t="n">
        <f aca="false">D195+F195-G195</f>
        <v>41783.371655286</v>
      </c>
    </row>
    <row r="196" customFormat="false" ht="15" hidden="false" customHeight="true" outlineLevel="0" collapsed="false">
      <c r="A196" s="1" t="s">
        <v>97</v>
      </c>
      <c r="B196" s="1" t="s">
        <v>73</v>
      </c>
      <c r="C196" s="7" t="n">
        <v>45047</v>
      </c>
      <c r="D196" s="6" t="n">
        <f aca="false">I195</f>
        <v>41783.371655286</v>
      </c>
      <c r="E196" s="1" t="n">
        <v>30</v>
      </c>
      <c r="F196" s="6" t="n">
        <f aca="false">D196*((1+01_Lease_Master!$P$13)^(E196/365)-1)</f>
        <v>281.107436102307</v>
      </c>
      <c r="G196" s="6" t="n">
        <f aca="false">SUMIFS(02_Payment_Schedule!E:E,02_Payment_Schedule!A:A,A196,02_Payment_Schedule!D:D,C196)</f>
        <v>0</v>
      </c>
      <c r="H196" s="6" t="n">
        <f aca="false">G196-F196</f>
        <v>-281.107436102307</v>
      </c>
      <c r="I196" s="6" t="n">
        <f aca="false">MAX(0,D196+F196-G196)</f>
        <v>42064.4790913883</v>
      </c>
      <c r="J196" s="6" t="str">
        <f aca="false">IF(G196&gt;0,"YES","NO")</f>
        <v>NO</v>
      </c>
      <c r="K196" s="1" t="n">
        <f aca="false">D196+F196-G196</f>
        <v>42064.4790913883</v>
      </c>
    </row>
    <row r="197" customFormat="false" ht="15" hidden="false" customHeight="true" outlineLevel="0" collapsed="false">
      <c r="A197" s="1" t="s">
        <v>97</v>
      </c>
      <c r="B197" s="1" t="s">
        <v>73</v>
      </c>
      <c r="C197" s="7" t="n">
        <v>45078</v>
      </c>
      <c r="D197" s="6" t="n">
        <f aca="false">I196</f>
        <v>42064.4790913883</v>
      </c>
      <c r="E197" s="1" t="n">
        <v>31</v>
      </c>
      <c r="F197" s="6" t="n">
        <f aca="false">D197*((1+01_Lease_Master!$P$13)^(E197/365)-1)</f>
        <v>292.46465996962</v>
      </c>
      <c r="G197" s="6" t="n">
        <f aca="false">SUMIFS(02_Payment_Schedule!E:E,02_Payment_Schedule!A:A,A197,02_Payment_Schedule!D:D,C197)</f>
        <v>0</v>
      </c>
      <c r="H197" s="6" t="n">
        <f aca="false">G197-F197</f>
        <v>-292.46465996962</v>
      </c>
      <c r="I197" s="6" t="n">
        <f aca="false">MAX(0,D197+F197-G197)</f>
        <v>42356.9437513579</v>
      </c>
      <c r="J197" s="6" t="str">
        <f aca="false">IF(G197&gt;0,"YES","NO")</f>
        <v>NO</v>
      </c>
      <c r="K197" s="1" t="n">
        <f aca="false">D197+F197-G197</f>
        <v>42356.9437513579</v>
      </c>
    </row>
    <row r="198" customFormat="false" ht="15" hidden="false" customHeight="true" outlineLevel="0" collapsed="false">
      <c r="A198" s="1" t="s">
        <v>97</v>
      </c>
      <c r="B198" s="1" t="s">
        <v>73</v>
      </c>
      <c r="C198" s="7" t="n">
        <v>45108</v>
      </c>
      <c r="D198" s="6" t="n">
        <f aca="false">I197</f>
        <v>42356.9437513579</v>
      </c>
      <c r="E198" s="1" t="n">
        <v>30</v>
      </c>
      <c r="F198" s="6" t="n">
        <f aca="false">D198*((1+01_Lease_Master!$P$13)^(E198/365)-1)</f>
        <v>284.966276951169</v>
      </c>
      <c r="G198" s="6" t="n">
        <f aca="false">SUMIFS(02_Payment_Schedule!E:E,02_Payment_Schedule!A:A,A198,02_Payment_Schedule!D:D,C198)</f>
        <v>0</v>
      </c>
      <c r="H198" s="6" t="n">
        <f aca="false">G198-F198</f>
        <v>-284.966276951169</v>
      </c>
      <c r="I198" s="6" t="n">
        <f aca="false">MAX(0,D198+F198-G198)</f>
        <v>42641.9100283091</v>
      </c>
      <c r="J198" s="6" t="str">
        <f aca="false">IF(G198&gt;0,"YES","NO")</f>
        <v>NO</v>
      </c>
      <c r="K198" s="1" t="n">
        <f aca="false">D198+F198-G198</f>
        <v>42641.9100283091</v>
      </c>
    </row>
    <row r="199" customFormat="false" ht="15" hidden="false" customHeight="true" outlineLevel="0" collapsed="false">
      <c r="A199" s="1" t="s">
        <v>97</v>
      </c>
      <c r="B199" s="1" t="s">
        <v>73</v>
      </c>
      <c r="C199" s="7" t="n">
        <v>45139</v>
      </c>
      <c r="D199" s="6" t="n">
        <f aca="false">I198</f>
        <v>42641.9100283091</v>
      </c>
      <c r="E199" s="1" t="n">
        <v>31</v>
      </c>
      <c r="F199" s="6" t="n">
        <f aca="false">D199*((1+01_Lease_Master!$P$13)^(E199/365)-1)</f>
        <v>296.479404625214</v>
      </c>
      <c r="G199" s="6" t="n">
        <f aca="false">SUMIFS(02_Payment_Schedule!E:E,02_Payment_Schedule!A:A,A199,02_Payment_Schedule!D:D,C199)</f>
        <v>0</v>
      </c>
      <c r="H199" s="6" t="n">
        <f aca="false">G199-F199</f>
        <v>-296.479404625214</v>
      </c>
      <c r="I199" s="6" t="n">
        <f aca="false">MAX(0,D199+F199-G199)</f>
        <v>42938.3894329343</v>
      </c>
      <c r="J199" s="6" t="str">
        <f aca="false">IF(G199&gt;0,"YES","NO")</f>
        <v>NO</v>
      </c>
      <c r="K199" s="1" t="n">
        <f aca="false">D199+F199-G199</f>
        <v>42938.3894329343</v>
      </c>
    </row>
    <row r="200" customFormat="false" ht="15" hidden="false" customHeight="true" outlineLevel="0" collapsed="false">
      <c r="A200" s="1" t="s">
        <v>97</v>
      </c>
      <c r="B200" s="1" t="s">
        <v>73</v>
      </c>
      <c r="C200" s="7" t="n">
        <v>45170</v>
      </c>
      <c r="D200" s="6" t="n">
        <f aca="false">I199</f>
        <v>42938.3894329343</v>
      </c>
      <c r="E200" s="1" t="n">
        <v>31</v>
      </c>
      <c r="F200" s="6" t="n">
        <f aca="false">D200*((1+01_Lease_Master!$P$13)^(E200/365)-1)</f>
        <v>298.540757817615</v>
      </c>
      <c r="G200" s="6" t="n">
        <f aca="false">SUMIFS(02_Payment_Schedule!E:E,02_Payment_Schedule!A:A,A200,02_Payment_Schedule!D:D,C200)</f>
        <v>0</v>
      </c>
      <c r="H200" s="6" t="n">
        <f aca="false">G200-F200</f>
        <v>-298.540757817615</v>
      </c>
      <c r="I200" s="6" t="n">
        <f aca="false">MAX(0,D200+F200-G200)</f>
        <v>43236.9301907519</v>
      </c>
      <c r="J200" s="6" t="str">
        <f aca="false">IF(G200&gt;0,"YES","NO")</f>
        <v>NO</v>
      </c>
      <c r="K200" s="1" t="n">
        <f aca="false">D200+F200-G200</f>
        <v>43236.9301907519</v>
      </c>
    </row>
    <row r="201" customFormat="false" ht="15" hidden="false" customHeight="true" outlineLevel="0" collapsed="false">
      <c r="A201" s="1" t="s">
        <v>97</v>
      </c>
      <c r="B201" s="1" t="s">
        <v>73</v>
      </c>
      <c r="C201" s="7" t="n">
        <v>45200</v>
      </c>
      <c r="D201" s="6" t="n">
        <f aca="false">I200</f>
        <v>43236.9301907519</v>
      </c>
      <c r="E201" s="1" t="n">
        <v>30</v>
      </c>
      <c r="F201" s="6" t="n">
        <f aca="false">D201*((1+01_Lease_Master!$P$13)^(E201/365)-1)</f>
        <v>290.886592186226</v>
      </c>
      <c r="G201" s="6" t="n">
        <f aca="false">SUMIFS(02_Payment_Schedule!E:E,02_Payment_Schedule!A:A,A201,02_Payment_Schedule!D:D,C201)</f>
        <v>0</v>
      </c>
      <c r="H201" s="6" t="n">
        <f aca="false">G201-F201</f>
        <v>-290.886592186226</v>
      </c>
      <c r="I201" s="6" t="n">
        <f aca="false">MAX(0,D201+F201-G201)</f>
        <v>43527.8167829381</v>
      </c>
      <c r="J201" s="6" t="str">
        <f aca="false">IF(G201&gt;0,"YES","NO")</f>
        <v>NO</v>
      </c>
      <c r="K201" s="1" t="n">
        <f aca="false">D201+F201-G201</f>
        <v>43527.8167829381</v>
      </c>
    </row>
    <row r="202" customFormat="false" ht="15" hidden="false" customHeight="true" outlineLevel="0" collapsed="false">
      <c r="A202" s="1" t="s">
        <v>97</v>
      </c>
      <c r="B202" s="1" t="s">
        <v>73</v>
      </c>
      <c r="C202" s="7" t="n">
        <v>45231</v>
      </c>
      <c r="D202" s="6" t="n">
        <f aca="false">I201</f>
        <v>43527.8167829381</v>
      </c>
      <c r="E202" s="1" t="n">
        <v>31</v>
      </c>
      <c r="F202" s="6" t="n">
        <f aca="false">D202*((1+01_Lease_Master!$P$13)^(E202/365)-1)</f>
        <v>302.63891077753</v>
      </c>
      <c r="G202" s="6" t="n">
        <f aca="false">SUMIFS(02_Payment_Schedule!E:E,02_Payment_Schedule!A:A,A202,02_Payment_Schedule!D:D,C202)</f>
        <v>0</v>
      </c>
      <c r="H202" s="6" t="n">
        <f aca="false">G202-F202</f>
        <v>-302.63891077753</v>
      </c>
      <c r="I202" s="6" t="n">
        <f aca="false">MAX(0,D202+F202-G202)</f>
        <v>43830.4556937156</v>
      </c>
      <c r="J202" s="6" t="str">
        <f aca="false">IF(G202&gt;0,"YES","NO")</f>
        <v>NO</v>
      </c>
      <c r="K202" s="1" t="n">
        <f aca="false">D202+F202-G202</f>
        <v>43830.4556937156</v>
      </c>
    </row>
    <row r="203" customFormat="false" ht="15" hidden="false" customHeight="true" outlineLevel="0" collapsed="false">
      <c r="A203" s="1" t="s">
        <v>97</v>
      </c>
      <c r="B203" s="1" t="s">
        <v>73</v>
      </c>
      <c r="C203" s="7" t="n">
        <v>45261</v>
      </c>
      <c r="D203" s="6" t="n">
        <f aca="false">I202</f>
        <v>43830.4556937156</v>
      </c>
      <c r="E203" s="1" t="n">
        <v>30</v>
      </c>
      <c r="F203" s="6" t="n">
        <f aca="false">D203*((1+01_Lease_Master!$P$13)^(E203/365)-1)</f>
        <v>294.879674261458</v>
      </c>
      <c r="G203" s="6" t="n">
        <f aca="false">SUMIFS(02_Payment_Schedule!E:E,02_Payment_Schedule!A:A,A203,02_Payment_Schedule!D:D,C203)</f>
        <v>0</v>
      </c>
      <c r="H203" s="6" t="n">
        <f aca="false">G203-F203</f>
        <v>-294.879674261458</v>
      </c>
      <c r="I203" s="6" t="n">
        <f aca="false">MAX(0,D203+F203-G203)</f>
        <v>44125.3353679771</v>
      </c>
      <c r="J203" s="6" t="str">
        <f aca="false">IF(G203&gt;0,"YES","NO")</f>
        <v>NO</v>
      </c>
      <c r="K203" s="1" t="n">
        <f aca="false">D203+F203-G203</f>
        <v>44125.3353679771</v>
      </c>
    </row>
    <row r="204" customFormat="false" ht="15" hidden="false" customHeight="true" outlineLevel="0" collapsed="false">
      <c r="A204" s="1" t="s">
        <v>97</v>
      </c>
      <c r="B204" s="1" t="s">
        <v>73</v>
      </c>
      <c r="C204" s="7" t="n">
        <v>45292</v>
      </c>
      <c r="D204" s="6" t="n">
        <f aca="false">I203</f>
        <v>44125.3353679771</v>
      </c>
      <c r="E204" s="1" t="n">
        <v>31</v>
      </c>
      <c r="F204" s="6" t="n">
        <f aca="false">D204*((1+01_Lease_Master!$P$13)^(E204/365)-1)</f>
        <v>306.793320235907</v>
      </c>
      <c r="G204" s="6" t="n">
        <f aca="false">SUMIFS(02_Payment_Schedule!E:E,02_Payment_Schedule!A:A,A204,02_Payment_Schedule!D:D,C204)</f>
        <v>18000</v>
      </c>
      <c r="H204" s="6" t="n">
        <f aca="false">G204-F204</f>
        <v>17693.2066797641</v>
      </c>
      <c r="I204" s="6" t="n">
        <f aca="false">MAX(0,D204+F204-G204)</f>
        <v>26432.128688213</v>
      </c>
      <c r="J204" s="6" t="str">
        <f aca="false">IF(G204&gt;0,"YES","NO")</f>
        <v>YES</v>
      </c>
      <c r="K204" s="1" t="n">
        <f aca="false">D204+F204-G204</f>
        <v>26432.128688213</v>
      </c>
    </row>
    <row r="205" customFormat="false" ht="15" hidden="false" customHeight="true" outlineLevel="0" collapsed="false">
      <c r="A205" s="1" t="s">
        <v>97</v>
      </c>
      <c r="B205" s="1" t="s">
        <v>73</v>
      </c>
      <c r="C205" s="7" t="n">
        <v>45323</v>
      </c>
      <c r="D205" s="6" t="n">
        <f aca="false">I204</f>
        <v>26432.128688213</v>
      </c>
      <c r="E205" s="1" t="n">
        <v>31</v>
      </c>
      <c r="F205" s="6" t="n">
        <f aca="false">D205*((1+01_Lease_Master!$P$13)^(E205/365)-1)</f>
        <v>183.776518717287</v>
      </c>
      <c r="G205" s="6" t="n">
        <f aca="false">SUMIFS(02_Payment_Schedule!E:E,02_Payment_Schedule!A:A,A205,02_Payment_Schedule!D:D,C205)</f>
        <v>0</v>
      </c>
      <c r="H205" s="6" t="n">
        <f aca="false">G205-F205</f>
        <v>-183.776518717287</v>
      </c>
      <c r="I205" s="6" t="n">
        <f aca="false">MAX(0,D205+F205-G205)</f>
        <v>26615.9052069303</v>
      </c>
      <c r="J205" s="6" t="str">
        <f aca="false">IF(G205&gt;0,"YES","NO")</f>
        <v>NO</v>
      </c>
      <c r="K205" s="1" t="n">
        <f aca="false">D205+F205-G205</f>
        <v>26615.9052069303</v>
      </c>
    </row>
    <row r="206" customFormat="false" ht="15" hidden="false" customHeight="true" outlineLevel="0" collapsed="false">
      <c r="A206" s="1" t="s">
        <v>97</v>
      </c>
      <c r="B206" s="1" t="s">
        <v>73</v>
      </c>
      <c r="C206" s="7" t="n">
        <v>45352</v>
      </c>
      <c r="D206" s="6" t="n">
        <f aca="false">I205</f>
        <v>26615.9052069303</v>
      </c>
      <c r="E206" s="1" t="n">
        <v>29</v>
      </c>
      <c r="F206" s="6" t="n">
        <f aca="false">D206*((1+01_Lease_Master!$P$13)^(E206/365)-1)</f>
        <v>173.076557820651</v>
      </c>
      <c r="G206" s="6" t="n">
        <f aca="false">SUMIFS(02_Payment_Schedule!E:E,02_Payment_Schedule!A:A,A206,02_Payment_Schedule!D:D,C206)</f>
        <v>0</v>
      </c>
      <c r="H206" s="6" t="n">
        <f aca="false">G206-F206</f>
        <v>-173.076557820651</v>
      </c>
      <c r="I206" s="6" t="n">
        <f aca="false">MAX(0,D206+F206-G206)</f>
        <v>26788.9817647509</v>
      </c>
      <c r="J206" s="6" t="str">
        <f aca="false">IF(G206&gt;0,"YES","NO")</f>
        <v>NO</v>
      </c>
      <c r="K206" s="1" t="n">
        <f aca="false">D206+F206-G206</f>
        <v>26788.9817647509</v>
      </c>
    </row>
    <row r="207" customFormat="false" ht="15" hidden="false" customHeight="true" outlineLevel="0" collapsed="false">
      <c r="A207" s="1" t="s">
        <v>97</v>
      </c>
      <c r="B207" s="1" t="s">
        <v>73</v>
      </c>
      <c r="C207" s="7" t="n">
        <v>45383</v>
      </c>
      <c r="D207" s="6" t="n">
        <f aca="false">I206</f>
        <v>26788.9817647509</v>
      </c>
      <c r="E207" s="1" t="n">
        <v>31</v>
      </c>
      <c r="F207" s="6" t="n">
        <f aca="false">D207*((1+01_Lease_Master!$P$13)^(E207/365)-1)</f>
        <v>186.257636181313</v>
      </c>
      <c r="G207" s="6" t="n">
        <f aca="false">SUMIFS(02_Payment_Schedule!E:E,02_Payment_Schedule!A:A,A207,02_Payment_Schedule!D:D,C207)</f>
        <v>0</v>
      </c>
      <c r="H207" s="6" t="n">
        <f aca="false">G207-F207</f>
        <v>-186.257636181313</v>
      </c>
      <c r="I207" s="6" t="n">
        <f aca="false">MAX(0,D207+F207-G207)</f>
        <v>26975.2394009323</v>
      </c>
      <c r="J207" s="6" t="str">
        <f aca="false">IF(G207&gt;0,"YES","NO")</f>
        <v>NO</v>
      </c>
      <c r="K207" s="1" t="n">
        <f aca="false">D207+F207-G207</f>
        <v>26975.2394009323</v>
      </c>
    </row>
    <row r="208" customFormat="false" ht="15" hidden="false" customHeight="true" outlineLevel="0" collapsed="false">
      <c r="A208" s="1" t="s">
        <v>97</v>
      </c>
      <c r="B208" s="1" t="s">
        <v>73</v>
      </c>
      <c r="C208" s="7" t="n">
        <v>45413</v>
      </c>
      <c r="D208" s="6" t="n">
        <f aca="false">I207</f>
        <v>26975.2394009323</v>
      </c>
      <c r="E208" s="1" t="n">
        <v>30</v>
      </c>
      <c r="F208" s="6" t="n">
        <f aca="false">D208*((1+01_Lease_Master!$P$13)^(E208/365)-1)</f>
        <v>181.482252049965</v>
      </c>
      <c r="G208" s="6" t="n">
        <f aca="false">SUMIFS(02_Payment_Schedule!E:E,02_Payment_Schedule!A:A,A208,02_Payment_Schedule!D:D,C208)</f>
        <v>0</v>
      </c>
      <c r="H208" s="6" t="n">
        <f aca="false">G208-F208</f>
        <v>-181.482252049965</v>
      </c>
      <c r="I208" s="6" t="n">
        <f aca="false">MAX(0,D208+F208-G208)</f>
        <v>27156.7216529822</v>
      </c>
      <c r="J208" s="6" t="str">
        <f aca="false">IF(G208&gt;0,"YES","NO")</f>
        <v>NO</v>
      </c>
      <c r="K208" s="1" t="n">
        <f aca="false">D208+F208-G208</f>
        <v>27156.7216529822</v>
      </c>
    </row>
    <row r="209" customFormat="false" ht="15" hidden="false" customHeight="true" outlineLevel="0" collapsed="false">
      <c r="A209" s="1" t="s">
        <v>97</v>
      </c>
      <c r="B209" s="1" t="s">
        <v>73</v>
      </c>
      <c r="C209" s="7" t="n">
        <v>45444</v>
      </c>
      <c r="D209" s="6" t="n">
        <f aca="false">I208</f>
        <v>27156.7216529822</v>
      </c>
      <c r="E209" s="1" t="n">
        <v>31</v>
      </c>
      <c r="F209" s="6" t="n">
        <f aca="false">D209*((1+01_Lease_Master!$P$13)^(E209/365)-1)</f>
        <v>188.814447146098</v>
      </c>
      <c r="G209" s="6" t="n">
        <f aca="false">SUMIFS(02_Payment_Schedule!E:E,02_Payment_Schedule!A:A,A209,02_Payment_Schedule!D:D,C209)</f>
        <v>0</v>
      </c>
      <c r="H209" s="6" t="n">
        <f aca="false">G209-F209</f>
        <v>-188.814447146098</v>
      </c>
      <c r="I209" s="6" t="n">
        <f aca="false">MAX(0,D209+F209-G209)</f>
        <v>27345.5361001283</v>
      </c>
      <c r="J209" s="6" t="str">
        <f aca="false">IF(G209&gt;0,"YES","NO")</f>
        <v>NO</v>
      </c>
      <c r="K209" s="1" t="n">
        <f aca="false">D209+F209-G209</f>
        <v>27345.5361001283</v>
      </c>
    </row>
    <row r="210" customFormat="false" ht="15" hidden="false" customHeight="true" outlineLevel="0" collapsed="false">
      <c r="A210" s="1" t="s">
        <v>97</v>
      </c>
      <c r="B210" s="1" t="s">
        <v>73</v>
      </c>
      <c r="C210" s="7" t="n">
        <v>45474</v>
      </c>
      <c r="D210" s="6" t="n">
        <f aca="false">I209</f>
        <v>27345.5361001283</v>
      </c>
      <c r="E210" s="1" t="n">
        <v>30</v>
      </c>
      <c r="F210" s="6" t="n">
        <f aca="false">D210*((1+01_Lease_Master!$P$13)^(E210/365)-1)</f>
        <v>183.973509973498</v>
      </c>
      <c r="G210" s="6" t="n">
        <f aca="false">SUMIFS(02_Payment_Schedule!E:E,02_Payment_Schedule!A:A,A210,02_Payment_Schedule!D:D,C210)</f>
        <v>0</v>
      </c>
      <c r="H210" s="6" t="n">
        <f aca="false">G210-F210</f>
        <v>-183.973509973498</v>
      </c>
      <c r="I210" s="6" t="n">
        <f aca="false">MAX(0,D210+F210-G210)</f>
        <v>27529.5096101018</v>
      </c>
      <c r="J210" s="6" t="str">
        <f aca="false">IF(G210&gt;0,"YES","NO")</f>
        <v>NO</v>
      </c>
      <c r="K210" s="1" t="n">
        <f aca="false">D210+F210-G210</f>
        <v>27529.5096101018</v>
      </c>
    </row>
    <row r="211" customFormat="false" ht="15" hidden="false" customHeight="true" outlineLevel="0" collapsed="false">
      <c r="A211" s="1" t="s">
        <v>97</v>
      </c>
      <c r="B211" s="1" t="s">
        <v>73</v>
      </c>
      <c r="C211" s="7" t="n">
        <v>45505</v>
      </c>
      <c r="D211" s="6" t="n">
        <f aca="false">I210</f>
        <v>27529.5096101018</v>
      </c>
      <c r="E211" s="1" t="n">
        <v>31</v>
      </c>
      <c r="F211" s="6" t="n">
        <f aca="false">D211*((1+01_Lease_Master!$P$13)^(E211/365)-1)</f>
        <v>191.406356174209</v>
      </c>
      <c r="G211" s="6" t="n">
        <f aca="false">SUMIFS(02_Payment_Schedule!E:E,02_Payment_Schedule!A:A,A211,02_Payment_Schedule!D:D,C211)</f>
        <v>0</v>
      </c>
      <c r="H211" s="6" t="n">
        <f aca="false">G211-F211</f>
        <v>-191.406356174209</v>
      </c>
      <c r="I211" s="6" t="n">
        <f aca="false">MAX(0,D211+F211-G211)</f>
        <v>27720.915966276</v>
      </c>
      <c r="J211" s="6" t="str">
        <f aca="false">IF(G211&gt;0,"YES","NO")</f>
        <v>NO</v>
      </c>
      <c r="K211" s="1" t="n">
        <f aca="false">D211+F211-G211</f>
        <v>27720.915966276</v>
      </c>
    </row>
    <row r="212" customFormat="false" ht="15" hidden="false" customHeight="true" outlineLevel="0" collapsed="false">
      <c r="A212" s="1" t="s">
        <v>97</v>
      </c>
      <c r="B212" s="1" t="s">
        <v>73</v>
      </c>
      <c r="C212" s="7" t="n">
        <v>45536</v>
      </c>
      <c r="D212" s="6" t="n">
        <f aca="false">I211</f>
        <v>27720.915966276</v>
      </c>
      <c r="E212" s="1" t="n">
        <v>31</v>
      </c>
      <c r="F212" s="6" t="n">
        <f aca="false">D212*((1+01_Lease_Master!$P$13)^(E212/365)-1)</f>
        <v>192.737160598362</v>
      </c>
      <c r="G212" s="6" t="n">
        <f aca="false">SUMIFS(02_Payment_Schedule!E:E,02_Payment_Schedule!A:A,A212,02_Payment_Schedule!D:D,C212)</f>
        <v>0</v>
      </c>
      <c r="H212" s="6" t="n">
        <f aca="false">G212-F212</f>
        <v>-192.737160598362</v>
      </c>
      <c r="I212" s="6" t="n">
        <f aca="false">MAX(0,D212+F212-G212)</f>
        <v>27913.6531268744</v>
      </c>
      <c r="J212" s="6" t="str">
        <f aca="false">IF(G212&gt;0,"YES","NO")</f>
        <v>NO</v>
      </c>
      <c r="K212" s="1" t="n">
        <f aca="false">D212+F212-G212</f>
        <v>27913.6531268744</v>
      </c>
    </row>
    <row r="213" customFormat="false" ht="15" hidden="false" customHeight="true" outlineLevel="0" collapsed="false">
      <c r="A213" s="1" t="s">
        <v>97</v>
      </c>
      <c r="B213" s="1" t="s">
        <v>73</v>
      </c>
      <c r="C213" s="7" t="n">
        <v>45566</v>
      </c>
      <c r="D213" s="6" t="n">
        <f aca="false">I212</f>
        <v>27913.6531268744</v>
      </c>
      <c r="E213" s="1" t="n">
        <v>30</v>
      </c>
      <c r="F213" s="6" t="n">
        <f aca="false">D213*((1+01_Lease_Master!$P$13)^(E213/365)-1)</f>
        <v>187.795650563592</v>
      </c>
      <c r="G213" s="6" t="n">
        <f aca="false">SUMIFS(02_Payment_Schedule!E:E,02_Payment_Schedule!A:A,A213,02_Payment_Schedule!D:D,C213)</f>
        <v>0</v>
      </c>
      <c r="H213" s="6" t="n">
        <f aca="false">G213-F213</f>
        <v>-187.795650563592</v>
      </c>
      <c r="I213" s="6" t="n">
        <f aca="false">MAX(0,D213+F213-G213)</f>
        <v>28101.448777438</v>
      </c>
      <c r="J213" s="6" t="str">
        <f aca="false">IF(G213&gt;0,"YES","NO")</f>
        <v>NO</v>
      </c>
      <c r="K213" s="1" t="n">
        <f aca="false">D213+F213-G213</f>
        <v>28101.448777438</v>
      </c>
    </row>
    <row r="214" customFormat="false" ht="15" hidden="false" customHeight="true" outlineLevel="0" collapsed="false">
      <c r="A214" s="1" t="s">
        <v>97</v>
      </c>
      <c r="B214" s="1" t="s">
        <v>73</v>
      </c>
      <c r="C214" s="7" t="n">
        <v>45597</v>
      </c>
      <c r="D214" s="6" t="n">
        <f aca="false">I213</f>
        <v>28101.448777438</v>
      </c>
      <c r="E214" s="1" t="n">
        <v>31</v>
      </c>
      <c r="F214" s="6" t="n">
        <f aca="false">D214*((1+01_Lease_Master!$P$13)^(E214/365)-1)</f>
        <v>195.382917817463</v>
      </c>
      <c r="G214" s="6" t="n">
        <f aca="false">SUMIFS(02_Payment_Schedule!E:E,02_Payment_Schedule!A:A,A214,02_Payment_Schedule!D:D,C214)</f>
        <v>0</v>
      </c>
      <c r="H214" s="6" t="n">
        <f aca="false">G214-F214</f>
        <v>-195.382917817463</v>
      </c>
      <c r="I214" s="6" t="n">
        <f aca="false">MAX(0,D214+F214-G214)</f>
        <v>28296.8316952554</v>
      </c>
      <c r="J214" s="6" t="str">
        <f aca="false">IF(G214&gt;0,"YES","NO")</f>
        <v>NO</v>
      </c>
      <c r="K214" s="1" t="n">
        <f aca="false">D214+F214-G214</f>
        <v>28296.8316952554</v>
      </c>
    </row>
    <row r="215" customFormat="false" ht="15" hidden="false" customHeight="true" outlineLevel="0" collapsed="false">
      <c r="A215" s="1" t="s">
        <v>97</v>
      </c>
      <c r="B215" s="1" t="s">
        <v>73</v>
      </c>
      <c r="C215" s="7" t="n">
        <v>45627</v>
      </c>
      <c r="D215" s="6" t="n">
        <f aca="false">I214</f>
        <v>28296.8316952554</v>
      </c>
      <c r="E215" s="1" t="n">
        <v>30</v>
      </c>
      <c r="F215" s="6" t="n">
        <f aca="false">D215*((1+01_Lease_Master!$P$13)^(E215/365)-1)</f>
        <v>190.373574284435</v>
      </c>
      <c r="G215" s="6" t="n">
        <f aca="false">SUMIFS(02_Payment_Schedule!E:E,02_Payment_Schedule!A:A,A215,02_Payment_Schedule!D:D,C215)</f>
        <v>0</v>
      </c>
      <c r="H215" s="6" t="n">
        <f aca="false">G215-F215</f>
        <v>-190.373574284435</v>
      </c>
      <c r="I215" s="6" t="n">
        <f aca="false">MAX(0,D215+F215-G215)</f>
        <v>28487.2052695399</v>
      </c>
      <c r="J215" s="6" t="str">
        <f aca="false">IF(G215&gt;0,"YES","NO")</f>
        <v>NO</v>
      </c>
      <c r="K215" s="1" t="n">
        <f aca="false">D215+F215-G215</f>
        <v>28487.2052695399</v>
      </c>
    </row>
    <row r="216" customFormat="false" ht="15" hidden="false" customHeight="true" outlineLevel="0" collapsed="false">
      <c r="A216" s="1" t="s">
        <v>97</v>
      </c>
      <c r="B216" s="1" t="s">
        <v>73</v>
      </c>
      <c r="C216" s="7" t="n">
        <v>45658</v>
      </c>
      <c r="D216" s="6" t="n">
        <f aca="false">I215</f>
        <v>28487.2052695399</v>
      </c>
      <c r="E216" s="1" t="n">
        <v>31</v>
      </c>
      <c r="F216" s="6" t="n">
        <f aca="false">D216*((1+01_Lease_Master!$P$13)^(E216/365)-1)</f>
        <v>198.064994090143</v>
      </c>
      <c r="G216" s="6" t="n">
        <f aca="false">SUMIFS(02_Payment_Schedule!E:E,02_Payment_Schedule!A:A,A216,02_Payment_Schedule!D:D,C216)</f>
        <v>18000</v>
      </c>
      <c r="H216" s="6" t="n">
        <f aca="false">G216-F216</f>
        <v>17801.9350059099</v>
      </c>
      <c r="I216" s="6" t="n">
        <f aca="false">MAX(0,D216+F216-G216)</f>
        <v>10685.27026363</v>
      </c>
      <c r="J216" s="6" t="str">
        <f aca="false">IF(G216&gt;0,"YES","NO")</f>
        <v>YES</v>
      </c>
      <c r="K216" s="1" t="n">
        <f aca="false">D216+F216-G216</f>
        <v>10685.27026363</v>
      </c>
    </row>
    <row r="217" customFormat="false" ht="15" hidden="false" customHeight="true" outlineLevel="0" collapsed="false">
      <c r="A217" s="1" t="s">
        <v>97</v>
      </c>
      <c r="B217" s="1" t="s">
        <v>73</v>
      </c>
      <c r="C217" s="7" t="n">
        <v>45689</v>
      </c>
      <c r="D217" s="6" t="n">
        <f aca="false">I216</f>
        <v>10685.27026363</v>
      </c>
      <c r="E217" s="1" t="n">
        <v>31</v>
      </c>
      <c r="F217" s="6" t="n">
        <f aca="false">D217*((1+01_Lease_Master!$P$13)^(E217/365)-1)</f>
        <v>74.2922294971634</v>
      </c>
      <c r="G217" s="6" t="n">
        <f aca="false">SUMIFS(02_Payment_Schedule!E:E,02_Payment_Schedule!A:A,A217,02_Payment_Schedule!D:D,C217)</f>
        <v>0</v>
      </c>
      <c r="H217" s="6" t="n">
        <f aca="false">G217-F217</f>
        <v>-74.2922294971634</v>
      </c>
      <c r="I217" s="6" t="n">
        <f aca="false">MAX(0,D217+F217-G217)</f>
        <v>10759.5624931272</v>
      </c>
      <c r="J217" s="6" t="str">
        <f aca="false">IF(G217&gt;0,"YES","NO")</f>
        <v>NO</v>
      </c>
      <c r="K217" s="1" t="n">
        <f aca="false">D217+F217-G217</f>
        <v>10759.5624931272</v>
      </c>
    </row>
    <row r="218" customFormat="false" ht="15" hidden="false" customHeight="true" outlineLevel="0" collapsed="false">
      <c r="A218" s="1" t="s">
        <v>97</v>
      </c>
      <c r="B218" s="1" t="s">
        <v>73</v>
      </c>
      <c r="C218" s="7" t="n">
        <v>45717</v>
      </c>
      <c r="D218" s="6" t="n">
        <f aca="false">I217</f>
        <v>10759.5624931272</v>
      </c>
      <c r="E218" s="1" t="n">
        <v>28</v>
      </c>
      <c r="F218" s="6" t="n">
        <f aca="false">D218*((1+01_Lease_Master!$P$13)^(E218/365)-1)</f>
        <v>67.5465339167951</v>
      </c>
      <c r="G218" s="6" t="n">
        <f aca="false">SUMIFS(02_Payment_Schedule!E:E,02_Payment_Schedule!A:A,A218,02_Payment_Schedule!D:D,C218)</f>
        <v>0</v>
      </c>
      <c r="H218" s="6" t="n">
        <f aca="false">G218-F218</f>
        <v>-67.5465339167951</v>
      </c>
      <c r="I218" s="6" t="n">
        <f aca="false">MAX(0,D218+F218-G218)</f>
        <v>10827.109027044</v>
      </c>
      <c r="J218" s="6" t="str">
        <f aca="false">IF(G218&gt;0,"YES","NO")</f>
        <v>NO</v>
      </c>
      <c r="K218" s="1" t="n">
        <f aca="false">D218+F218-G218</f>
        <v>10827.109027044</v>
      </c>
    </row>
    <row r="219" customFormat="false" ht="15" hidden="false" customHeight="true" outlineLevel="0" collapsed="false">
      <c r="A219" s="1" t="s">
        <v>97</v>
      </c>
      <c r="B219" s="1" t="s">
        <v>73</v>
      </c>
      <c r="C219" s="7" t="n">
        <v>45748</v>
      </c>
      <c r="D219" s="6" t="n">
        <f aca="false">I218</f>
        <v>10827.109027044</v>
      </c>
      <c r="E219" s="1" t="n">
        <v>31</v>
      </c>
      <c r="F219" s="6" t="n">
        <f aca="false">D219*((1+01_Lease_Master!$P$13)^(E219/365)-1)</f>
        <v>75.2784018356405</v>
      </c>
      <c r="G219" s="6" t="n">
        <f aca="false">SUMIFS(02_Payment_Schedule!E:E,02_Payment_Schedule!A:A,A219,02_Payment_Schedule!D:D,C219)</f>
        <v>0</v>
      </c>
      <c r="H219" s="6" t="n">
        <f aca="false">G219-F219</f>
        <v>-75.2784018356405</v>
      </c>
      <c r="I219" s="6" t="n">
        <f aca="false">MAX(0,D219+F219-G219)</f>
        <v>10902.3874288796</v>
      </c>
      <c r="J219" s="6" t="str">
        <f aca="false">IF(G219&gt;0,"YES","NO")</f>
        <v>NO</v>
      </c>
      <c r="K219" s="1" t="n">
        <f aca="false">D219+F219-G219</f>
        <v>10902.3874288796</v>
      </c>
    </row>
    <row r="220" customFormat="false" ht="15" hidden="false" customHeight="true" outlineLevel="0" collapsed="false">
      <c r="A220" s="1" t="s">
        <v>97</v>
      </c>
      <c r="B220" s="1" t="s">
        <v>73</v>
      </c>
      <c r="C220" s="7" t="n">
        <v>45778</v>
      </c>
      <c r="D220" s="6" t="n">
        <f aca="false">I219</f>
        <v>10902.3874288796</v>
      </c>
      <c r="E220" s="1" t="n">
        <v>30</v>
      </c>
      <c r="F220" s="6" t="n">
        <f aca="false">D220*((1+01_Lease_Master!$P$13)^(E220/365)-1)</f>
        <v>73.3483693659425</v>
      </c>
      <c r="G220" s="6" t="n">
        <f aca="false">SUMIFS(02_Payment_Schedule!E:E,02_Payment_Schedule!A:A,A220,02_Payment_Schedule!D:D,C220)</f>
        <v>0</v>
      </c>
      <c r="H220" s="6" t="n">
        <f aca="false">G220-F220</f>
        <v>-73.3483693659425</v>
      </c>
      <c r="I220" s="6" t="n">
        <f aca="false">MAX(0,D220+F220-G220)</f>
        <v>10975.7357982456</v>
      </c>
      <c r="J220" s="6" t="str">
        <f aca="false">IF(G220&gt;0,"YES","NO")</f>
        <v>NO</v>
      </c>
      <c r="K220" s="1" t="n">
        <f aca="false">D220+F220-G220</f>
        <v>10975.7357982456</v>
      </c>
    </row>
    <row r="221" customFormat="false" ht="15" hidden="false" customHeight="true" outlineLevel="0" collapsed="false">
      <c r="A221" s="1" t="s">
        <v>97</v>
      </c>
      <c r="B221" s="1" t="s">
        <v>73</v>
      </c>
      <c r="C221" s="7" t="n">
        <v>45809</v>
      </c>
      <c r="D221" s="6" t="n">
        <f aca="false">I220</f>
        <v>10975.7357982456</v>
      </c>
      <c r="E221" s="1" t="n">
        <v>31</v>
      </c>
      <c r="F221" s="6" t="n">
        <f aca="false">D221*((1+01_Lease_Master!$P$13)^(E221/365)-1)</f>
        <v>76.3117696329075</v>
      </c>
      <c r="G221" s="6" t="n">
        <f aca="false">SUMIFS(02_Payment_Schedule!E:E,02_Payment_Schedule!A:A,A221,02_Payment_Schedule!D:D,C221)</f>
        <v>0</v>
      </c>
      <c r="H221" s="6" t="n">
        <f aca="false">G221-F221</f>
        <v>-76.3117696329075</v>
      </c>
      <c r="I221" s="6" t="n">
        <f aca="false">MAX(0,D221+F221-G221)</f>
        <v>11052.0475678785</v>
      </c>
      <c r="J221" s="6" t="str">
        <f aca="false">IF(G221&gt;0,"YES","NO")</f>
        <v>NO</v>
      </c>
      <c r="K221" s="1" t="n">
        <f aca="false">D221+F221-G221</f>
        <v>11052.0475678785</v>
      </c>
    </row>
    <row r="222" customFormat="false" ht="15" hidden="false" customHeight="true" outlineLevel="0" collapsed="false">
      <c r="A222" s="1" t="s">
        <v>97</v>
      </c>
      <c r="B222" s="1" t="s">
        <v>73</v>
      </c>
      <c r="C222" s="7" t="n">
        <v>45839</v>
      </c>
      <c r="D222" s="6" t="n">
        <f aca="false">I221</f>
        <v>11052.0475678785</v>
      </c>
      <c r="E222" s="1" t="n">
        <v>30</v>
      </c>
      <c r="F222" s="6" t="n">
        <f aca="false">D222*((1+01_Lease_Master!$P$13)^(E222/365)-1)</f>
        <v>74.3552430645938</v>
      </c>
      <c r="G222" s="6" t="n">
        <f aca="false">SUMIFS(02_Payment_Schedule!E:E,02_Payment_Schedule!A:A,A222,02_Payment_Schedule!D:D,C222)</f>
        <v>0</v>
      </c>
      <c r="H222" s="6" t="n">
        <f aca="false">G222-F222</f>
        <v>-74.3552430645938</v>
      </c>
      <c r="I222" s="6" t="n">
        <f aca="false">MAX(0,D222+F222-G222)</f>
        <v>11126.4028109431</v>
      </c>
      <c r="J222" s="6" t="str">
        <f aca="false">IF(G222&gt;0,"YES","NO")</f>
        <v>NO</v>
      </c>
      <c r="K222" s="1" t="n">
        <f aca="false">D222+F222-G222</f>
        <v>11126.4028109431</v>
      </c>
    </row>
    <row r="223" customFormat="false" ht="15" hidden="false" customHeight="true" outlineLevel="0" collapsed="false">
      <c r="A223" s="1" t="s">
        <v>97</v>
      </c>
      <c r="B223" s="1" t="s">
        <v>73</v>
      </c>
      <c r="C223" s="7" t="n">
        <v>45870</v>
      </c>
      <c r="D223" s="6" t="n">
        <f aca="false">I222</f>
        <v>11126.4028109431</v>
      </c>
      <c r="E223" s="1" t="n">
        <v>31</v>
      </c>
      <c r="F223" s="6" t="n">
        <f aca="false">D223*((1+01_Lease_Master!$P$13)^(E223/365)-1)</f>
        <v>77.3593227606065</v>
      </c>
      <c r="G223" s="6" t="n">
        <f aca="false">SUMIFS(02_Payment_Schedule!E:E,02_Payment_Schedule!A:A,A223,02_Payment_Schedule!D:D,C223)</f>
        <v>0</v>
      </c>
      <c r="H223" s="6" t="n">
        <f aca="false">G223-F223</f>
        <v>-77.3593227606065</v>
      </c>
      <c r="I223" s="6" t="n">
        <f aca="false">MAX(0,D223+F223-G223)</f>
        <v>11203.7621337037</v>
      </c>
      <c r="J223" s="6" t="str">
        <f aca="false">IF(G223&gt;0,"YES","NO")</f>
        <v>NO</v>
      </c>
      <c r="K223" s="1" t="n">
        <f aca="false">D223+F223-G223</f>
        <v>11203.7621337037</v>
      </c>
    </row>
    <row r="224" customFormat="false" ht="15" hidden="false" customHeight="true" outlineLevel="0" collapsed="false">
      <c r="A224" s="1" t="s">
        <v>97</v>
      </c>
      <c r="B224" s="1" t="s">
        <v>73</v>
      </c>
      <c r="C224" s="7" t="n">
        <v>45901</v>
      </c>
      <c r="D224" s="6" t="n">
        <f aca="false">I223</f>
        <v>11203.7621337037</v>
      </c>
      <c r="E224" s="1" t="n">
        <v>31</v>
      </c>
      <c r="F224" s="6" t="n">
        <f aca="false">D224*((1+01_Lease_Master!$P$13)^(E224/365)-1)</f>
        <v>77.8971843605923</v>
      </c>
      <c r="G224" s="6" t="n">
        <f aca="false">SUMIFS(02_Payment_Schedule!E:E,02_Payment_Schedule!A:A,A224,02_Payment_Schedule!D:D,C224)</f>
        <v>0</v>
      </c>
      <c r="H224" s="6" t="n">
        <f aca="false">G224-F224</f>
        <v>-77.8971843605923</v>
      </c>
      <c r="I224" s="6" t="n">
        <f aca="false">MAX(0,D224+F224-G224)</f>
        <v>11281.6593180643</v>
      </c>
      <c r="J224" s="6" t="str">
        <f aca="false">IF(G224&gt;0,"YES","NO")</f>
        <v>NO</v>
      </c>
      <c r="K224" s="1" t="n">
        <f aca="false">D224+F224-G224</f>
        <v>11281.6593180643</v>
      </c>
    </row>
    <row r="225" customFormat="false" ht="15" hidden="false" customHeight="true" outlineLevel="0" collapsed="false">
      <c r="A225" s="1" t="s">
        <v>97</v>
      </c>
      <c r="B225" s="1" t="s">
        <v>73</v>
      </c>
      <c r="C225" s="7" t="n">
        <v>45931</v>
      </c>
      <c r="D225" s="6" t="n">
        <f aca="false">I224</f>
        <v>11281.6593180643</v>
      </c>
      <c r="E225" s="1" t="n">
        <v>30</v>
      </c>
      <c r="F225" s="6" t="n">
        <f aca="false">D225*((1+01_Lease_Master!$P$13)^(E225/365)-1)</f>
        <v>75.9000099858991</v>
      </c>
      <c r="G225" s="6" t="n">
        <f aca="false">SUMIFS(02_Payment_Schedule!E:E,02_Payment_Schedule!A:A,A225,02_Payment_Schedule!D:D,C225)</f>
        <v>0</v>
      </c>
      <c r="H225" s="6" t="n">
        <f aca="false">G225-F225</f>
        <v>-75.9000099858991</v>
      </c>
      <c r="I225" s="6" t="n">
        <f aca="false">MAX(0,D225+F225-G225)</f>
        <v>11357.5593280502</v>
      </c>
      <c r="J225" s="6" t="str">
        <f aca="false">IF(G225&gt;0,"YES","NO")</f>
        <v>NO</v>
      </c>
      <c r="K225" s="1" t="n">
        <f aca="false">D225+F225-G225</f>
        <v>11357.5593280502</v>
      </c>
    </row>
    <row r="226" customFormat="false" ht="15" hidden="false" customHeight="true" outlineLevel="0" collapsed="false">
      <c r="A226" s="1" t="s">
        <v>97</v>
      </c>
      <c r="B226" s="1" t="s">
        <v>73</v>
      </c>
      <c r="C226" s="7" t="n">
        <v>45962</v>
      </c>
      <c r="D226" s="6" t="n">
        <f aca="false">I225</f>
        <v>11357.5593280502</v>
      </c>
      <c r="E226" s="1" t="n">
        <v>31</v>
      </c>
      <c r="F226" s="6" t="n">
        <f aca="false">D226*((1+01_Lease_Master!$P$13)^(E226/365)-1)</f>
        <v>78.9665009222239</v>
      </c>
      <c r="G226" s="6" t="n">
        <f aca="false">SUMIFS(02_Payment_Schedule!E:E,02_Payment_Schedule!A:A,A226,02_Payment_Schedule!D:D,C226)</f>
        <v>0</v>
      </c>
      <c r="H226" s="6" t="n">
        <f aca="false">G226-F226</f>
        <v>-78.9665009222239</v>
      </c>
      <c r="I226" s="6" t="n">
        <f aca="false">MAX(0,D226+F226-G226)</f>
        <v>11436.5258289724</v>
      </c>
      <c r="J226" s="6" t="str">
        <f aca="false">IF(G226&gt;0,"YES","NO")</f>
        <v>NO</v>
      </c>
      <c r="K226" s="1" t="n">
        <f aca="false">D226+F226-G226</f>
        <v>11436.5258289724</v>
      </c>
    </row>
    <row r="227" customFormat="false" ht="15" hidden="false" customHeight="true" outlineLevel="0" collapsed="false">
      <c r="A227" s="1" t="s">
        <v>97</v>
      </c>
      <c r="B227" s="1" t="s">
        <v>73</v>
      </c>
      <c r="C227" s="7" t="n">
        <v>45992</v>
      </c>
      <c r="D227" s="6" t="n">
        <f aca="false">I226</f>
        <v>11436.5258289724</v>
      </c>
      <c r="E227" s="1" t="n">
        <v>30</v>
      </c>
      <c r="F227" s="6" t="n">
        <f aca="false">D227*((1+01_Lease_Master!$P$13)^(E227/365)-1)</f>
        <v>76.9419107730987</v>
      </c>
      <c r="G227" s="6" t="n">
        <f aca="false">SUMIFS(02_Payment_Schedule!E:E,02_Payment_Schedule!A:A,A227,02_Payment_Schedule!D:D,C227)</f>
        <v>0</v>
      </c>
      <c r="H227" s="6" t="n">
        <f aca="false">G227-F227</f>
        <v>-76.9419107730987</v>
      </c>
      <c r="I227" s="6" t="n">
        <f aca="false">MAX(0,D227+F227-G227)</f>
        <v>11513.4677397455</v>
      </c>
      <c r="J227" s="6" t="str">
        <f aca="false">IF(G227&gt;0,"YES","NO")</f>
        <v>NO</v>
      </c>
      <c r="K227" s="1" t="n">
        <f aca="false">D227+F227-G227</f>
        <v>11513.4677397455</v>
      </c>
    </row>
    <row r="228" customFormat="false" ht="15" hidden="false" customHeight="true" outlineLevel="0" collapsed="false">
      <c r="A228" s="1" t="s">
        <v>97</v>
      </c>
      <c r="B228" s="1" t="s">
        <v>73</v>
      </c>
      <c r="C228" s="7" t="n">
        <v>46023</v>
      </c>
      <c r="D228" s="6" t="n">
        <f aca="false">I227</f>
        <v>11513.4677397455</v>
      </c>
      <c r="E228" s="1" t="n">
        <v>31</v>
      </c>
      <c r="F228" s="6" t="n">
        <f aca="false">D228*((1+01_Lease_Master!$P$13)^(E228/365)-1)</f>
        <v>80.050496293088</v>
      </c>
      <c r="G228" s="6" t="n">
        <f aca="false">SUMIFS(02_Payment_Schedule!E:E,02_Payment_Schedule!A:A,A228,02_Payment_Schedule!D:D,C228)</f>
        <v>18000</v>
      </c>
      <c r="H228" s="6" t="n">
        <f aca="false">G228-F228</f>
        <v>17919.9495037069</v>
      </c>
      <c r="I228" s="6" t="n">
        <f aca="false">MAX(0,D228+F228-G228)</f>
        <v>0</v>
      </c>
      <c r="J228" s="6" t="str">
        <f aca="false">IF(G228&gt;0,"YES","NO")</f>
        <v>YES</v>
      </c>
      <c r="K228" s="1" t="n">
        <f aca="false">D228+F228-G228</f>
        <v>-6406.48176396143</v>
      </c>
    </row>
    <row r="229" customFormat="false" ht="15" hidden="false" customHeight="true" outlineLevel="0" collapsed="false">
      <c r="A229" s="1" t="s">
        <v>97</v>
      </c>
      <c r="B229" s="1" t="s">
        <v>73</v>
      </c>
      <c r="C229" s="7" t="n">
        <v>46054</v>
      </c>
      <c r="D229" s="6" t="n">
        <f aca="false">I228</f>
        <v>0</v>
      </c>
      <c r="E229" s="1" t="n">
        <v>31</v>
      </c>
      <c r="F229" s="6" t="n">
        <f aca="false">D229*((1+01_Lease_Master!$P$13)^(E229/365)-1)</f>
        <v>0</v>
      </c>
      <c r="G229" s="6" t="n">
        <f aca="false">SUMIFS(02_Payment_Schedule!E:E,02_Payment_Schedule!A:A,A229,02_Payment_Schedule!D:D,C229)</f>
        <v>0</v>
      </c>
      <c r="H229" s="6" t="n">
        <f aca="false">G229-F229</f>
        <v>0</v>
      </c>
      <c r="I229" s="6" t="n">
        <f aca="false">MAX(0,D229+F229-G229)</f>
        <v>0</v>
      </c>
      <c r="J229" s="6" t="str">
        <f aca="false">IF(G229&gt;0,"YES","NO")</f>
        <v>NO</v>
      </c>
      <c r="K229" s="1" t="n">
        <f aca="false">D229+F229-G229</f>
        <v>0</v>
      </c>
    </row>
    <row r="230" customFormat="false" ht="15" hidden="false" customHeight="true" outlineLevel="0" collapsed="false">
      <c r="A230" s="1" t="s">
        <v>97</v>
      </c>
      <c r="B230" s="1" t="s">
        <v>73</v>
      </c>
      <c r="C230" s="7" t="n">
        <v>46082</v>
      </c>
      <c r="D230" s="6" t="n">
        <f aca="false">I229</f>
        <v>0</v>
      </c>
      <c r="E230" s="1" t="n">
        <v>28</v>
      </c>
      <c r="F230" s="6" t="n">
        <f aca="false">D230*((1+01_Lease_Master!$P$13)^(E230/365)-1)</f>
        <v>0</v>
      </c>
      <c r="G230" s="6" t="n">
        <f aca="false">SUMIFS(02_Payment_Schedule!E:E,02_Payment_Schedule!A:A,A230,02_Payment_Schedule!D:D,C230)</f>
        <v>0</v>
      </c>
      <c r="H230" s="6" t="n">
        <f aca="false">G230-F230</f>
        <v>0</v>
      </c>
      <c r="I230" s="6" t="n">
        <f aca="false">MAX(0,D230+F230-G230)</f>
        <v>0</v>
      </c>
      <c r="J230" s="6" t="str">
        <f aca="false">IF(G230&gt;0,"YES","NO")</f>
        <v>NO</v>
      </c>
      <c r="K230" s="1" t="n">
        <f aca="false">D230+F230-G230</f>
        <v>0</v>
      </c>
    </row>
    <row r="231" customFormat="false" ht="15" hidden="false" customHeight="true" outlineLevel="0" collapsed="false">
      <c r="A231" s="1" t="s">
        <v>97</v>
      </c>
      <c r="B231" s="1" t="s">
        <v>73</v>
      </c>
      <c r="C231" s="7" t="n">
        <v>46113</v>
      </c>
      <c r="D231" s="6" t="n">
        <f aca="false">I230</f>
        <v>0</v>
      </c>
      <c r="E231" s="1" t="n">
        <v>31</v>
      </c>
      <c r="F231" s="6" t="n">
        <f aca="false">D231*((1+01_Lease_Master!$P$13)^(E231/365)-1)</f>
        <v>0</v>
      </c>
      <c r="G231" s="6" t="n">
        <f aca="false">SUMIFS(02_Payment_Schedule!E:E,02_Payment_Schedule!A:A,A231,02_Payment_Schedule!D:D,C231)</f>
        <v>0</v>
      </c>
      <c r="H231" s="6" t="n">
        <f aca="false">G231-F231</f>
        <v>0</v>
      </c>
      <c r="I231" s="6" t="n">
        <f aca="false">MAX(0,D231+F231-G231)</f>
        <v>0</v>
      </c>
      <c r="J231" s="6" t="str">
        <f aca="false">IF(G231&gt;0,"YES","NO")</f>
        <v>NO</v>
      </c>
      <c r="K231" s="1" t="n">
        <f aca="false">D231+F231-G231</f>
        <v>0</v>
      </c>
    </row>
    <row r="232" customFormat="false" ht="15" hidden="false" customHeight="true" outlineLevel="0" collapsed="false">
      <c r="A232" s="1" t="s">
        <v>97</v>
      </c>
      <c r="B232" s="1" t="s">
        <v>73</v>
      </c>
      <c r="C232" s="7" t="n">
        <v>46143</v>
      </c>
      <c r="D232" s="6" t="n">
        <f aca="false">I231</f>
        <v>0</v>
      </c>
      <c r="E232" s="1" t="n">
        <v>30</v>
      </c>
      <c r="F232" s="6" t="n">
        <f aca="false">D232*((1+01_Lease_Master!$P$13)^(E232/365)-1)</f>
        <v>0</v>
      </c>
      <c r="G232" s="6" t="n">
        <f aca="false">SUMIFS(02_Payment_Schedule!E:E,02_Payment_Schedule!A:A,A232,02_Payment_Schedule!D:D,C232)</f>
        <v>0</v>
      </c>
      <c r="H232" s="6" t="n">
        <f aca="false">G232-F232</f>
        <v>0</v>
      </c>
      <c r="I232" s="6" t="n">
        <f aca="false">MAX(0,D232+F232-G232)</f>
        <v>0</v>
      </c>
      <c r="J232" s="6" t="str">
        <f aca="false">IF(G232&gt;0,"YES","NO")</f>
        <v>NO</v>
      </c>
      <c r="K232" s="1" t="n">
        <f aca="false">D232+F232-G232</f>
        <v>0</v>
      </c>
    </row>
    <row r="233" customFormat="false" ht="15" hidden="false" customHeight="true" outlineLevel="0" collapsed="false">
      <c r="A233" s="1" t="s">
        <v>97</v>
      </c>
      <c r="B233" s="1" t="s">
        <v>73</v>
      </c>
      <c r="C233" s="7" t="n">
        <v>46174</v>
      </c>
      <c r="D233" s="6" t="n">
        <f aca="false">I232</f>
        <v>0</v>
      </c>
      <c r="E233" s="1" t="n">
        <v>31</v>
      </c>
      <c r="F233" s="6" t="n">
        <f aca="false">D233*((1+01_Lease_Master!$P$13)^(E233/365)-1)</f>
        <v>0</v>
      </c>
      <c r="G233" s="6" t="n">
        <f aca="false">SUMIFS(02_Payment_Schedule!E:E,02_Payment_Schedule!A:A,A233,02_Payment_Schedule!D:D,C233)</f>
        <v>0</v>
      </c>
      <c r="H233" s="6" t="n">
        <f aca="false">G233-F233</f>
        <v>0</v>
      </c>
      <c r="I233" s="6" t="n">
        <f aca="false">MAX(0,D233+F233-G233)</f>
        <v>0</v>
      </c>
      <c r="J233" s="6" t="str">
        <f aca="false">IF(G233&gt;0,"YES","NO")</f>
        <v>NO</v>
      </c>
      <c r="K233" s="1" t="n">
        <f aca="false">D233+F233-G233</f>
        <v>0</v>
      </c>
    </row>
    <row r="234" customFormat="false" ht="15" hidden="false" customHeight="true" outlineLevel="0" collapsed="false">
      <c r="A234" s="1" t="s">
        <v>97</v>
      </c>
      <c r="B234" s="1" t="s">
        <v>73</v>
      </c>
      <c r="C234" s="7" t="n">
        <v>46204</v>
      </c>
      <c r="D234" s="6" t="n">
        <f aca="false">I233</f>
        <v>0</v>
      </c>
      <c r="E234" s="1" t="n">
        <v>30</v>
      </c>
      <c r="F234" s="6" t="n">
        <f aca="false">D234*((1+01_Lease_Master!$P$13)^(E234/365)-1)</f>
        <v>0</v>
      </c>
      <c r="G234" s="6" t="n">
        <f aca="false">SUMIFS(02_Payment_Schedule!E:E,02_Payment_Schedule!A:A,A234,02_Payment_Schedule!D:D,C234)</f>
        <v>0</v>
      </c>
      <c r="H234" s="6" t="n">
        <f aca="false">G234-F234</f>
        <v>0</v>
      </c>
      <c r="I234" s="6" t="n">
        <f aca="false">MAX(0,D234+F234-G234)</f>
        <v>0</v>
      </c>
      <c r="J234" s="6" t="str">
        <f aca="false">IF(G234&gt;0,"YES","NO")</f>
        <v>NO</v>
      </c>
      <c r="K234" s="1" t="n">
        <f aca="false">D234+F234-G234</f>
        <v>0</v>
      </c>
    </row>
    <row r="235" customFormat="false" ht="15" hidden="false" customHeight="true" outlineLevel="0" collapsed="false">
      <c r="A235" s="1" t="s">
        <v>97</v>
      </c>
      <c r="B235" s="1" t="s">
        <v>73</v>
      </c>
      <c r="C235" s="7" t="n">
        <v>46235</v>
      </c>
      <c r="D235" s="6" t="n">
        <f aca="false">I234</f>
        <v>0</v>
      </c>
      <c r="E235" s="1" t="n">
        <v>31</v>
      </c>
      <c r="F235" s="6" t="n">
        <f aca="false">D235*((1+01_Lease_Master!$P$13)^(E235/365)-1)</f>
        <v>0</v>
      </c>
      <c r="G235" s="6" t="n">
        <f aca="false">SUMIFS(02_Payment_Schedule!E:E,02_Payment_Schedule!A:A,A235,02_Payment_Schedule!D:D,C235)</f>
        <v>0</v>
      </c>
      <c r="H235" s="6" t="n">
        <f aca="false">G235-F235</f>
        <v>0</v>
      </c>
      <c r="I235" s="6" t="n">
        <f aca="false">MAX(0,D235+F235-G235)</f>
        <v>0</v>
      </c>
      <c r="J235" s="6" t="str">
        <f aca="false">IF(G235&gt;0,"YES","NO")</f>
        <v>NO</v>
      </c>
      <c r="K235" s="1" t="n">
        <f aca="false">D235+F235-G235</f>
        <v>0</v>
      </c>
    </row>
    <row r="236" customFormat="false" ht="15" hidden="false" customHeight="true" outlineLevel="0" collapsed="false">
      <c r="A236" s="1" t="s">
        <v>97</v>
      </c>
      <c r="B236" s="1" t="s">
        <v>73</v>
      </c>
      <c r="C236" s="7" t="n">
        <v>46266</v>
      </c>
      <c r="D236" s="6" t="n">
        <f aca="false">I235</f>
        <v>0</v>
      </c>
      <c r="E236" s="1" t="n">
        <v>31</v>
      </c>
      <c r="F236" s="6" t="n">
        <f aca="false">D236*((1+01_Lease_Master!$P$13)^(E236/365)-1)</f>
        <v>0</v>
      </c>
      <c r="G236" s="6" t="n">
        <f aca="false">SUMIFS(02_Payment_Schedule!E:E,02_Payment_Schedule!A:A,A236,02_Payment_Schedule!D:D,C236)</f>
        <v>0</v>
      </c>
      <c r="H236" s="6" t="n">
        <f aca="false">G236-F236</f>
        <v>0</v>
      </c>
      <c r="I236" s="6" t="n">
        <f aca="false">MAX(0,D236+F236-G236)</f>
        <v>0</v>
      </c>
      <c r="J236" s="6" t="str">
        <f aca="false">IF(G236&gt;0,"YES","NO")</f>
        <v>NO</v>
      </c>
      <c r="K236" s="1" t="n">
        <f aca="false">D236+F236-G236</f>
        <v>0</v>
      </c>
    </row>
    <row r="237" customFormat="false" ht="15" hidden="false" customHeight="true" outlineLevel="0" collapsed="false">
      <c r="A237" s="1" t="s">
        <v>97</v>
      </c>
      <c r="B237" s="1" t="s">
        <v>73</v>
      </c>
      <c r="C237" s="7" t="n">
        <v>46271</v>
      </c>
      <c r="D237" s="6" t="n">
        <f aca="false">I236</f>
        <v>0</v>
      </c>
      <c r="E237" s="1" t="n">
        <v>5</v>
      </c>
      <c r="F237" s="6" t="n">
        <f aca="false">D237*((1+01_Lease_Master!$P$13)^(E237/365)-1)</f>
        <v>0</v>
      </c>
      <c r="G237" s="6" t="n">
        <f aca="false">SUMIFS(02_Payment_Schedule!E:E,02_Payment_Schedule!A:A,A237,02_Payment_Schedule!D:D,C237)</f>
        <v>0</v>
      </c>
      <c r="H237" s="6" t="n">
        <f aca="false">G237-F237</f>
        <v>0</v>
      </c>
      <c r="I237" s="6" t="n">
        <f aca="false">MAX(0,D237+F237-G237)</f>
        <v>0</v>
      </c>
      <c r="J237" s="6" t="str">
        <f aca="false">IF(G237&gt;0,"YES","NO")</f>
        <v>NO</v>
      </c>
      <c r="K237" s="1" t="n">
        <f aca="false">D237+F237-G237</f>
        <v>0</v>
      </c>
    </row>
    <row r="238" customFormat="false" ht="15" hidden="false" customHeight="true" outlineLevel="0" collapsed="false">
      <c r="A238" s="1" t="s">
        <v>101</v>
      </c>
      <c r="B238" s="1" t="s">
        <v>73</v>
      </c>
      <c r="C238" s="7" t="n">
        <v>45809</v>
      </c>
      <c r="D238" s="6" t="n">
        <f aca="false">03_Initial_Recognition!$B$14</f>
        <v>4476019.37346525</v>
      </c>
      <c r="E238" s="1" t="n">
        <v>0</v>
      </c>
      <c r="F238" s="6" t="n">
        <f aca="false">D238*((1+01_Lease_Master!$P$14)^(E238/365)-1)</f>
        <v>0</v>
      </c>
      <c r="G238" s="6" t="n">
        <f aca="false">SUMIFS(02_Payment_Schedule!E:E,02_Payment_Schedule!A:A,A238,02_Payment_Schedule!D:D,C238)</f>
        <v>0</v>
      </c>
      <c r="H238" s="6" t="n">
        <f aca="false">G238-F238</f>
        <v>0</v>
      </c>
      <c r="I238" s="6" t="n">
        <f aca="false">MAX(0,D238+F238-G238)</f>
        <v>4476019.37346525</v>
      </c>
      <c r="J238" s="6" t="str">
        <f aca="false">IF(G238&gt;0,"YES","NO")</f>
        <v>NO</v>
      </c>
      <c r="K238" s="1" t="n">
        <f aca="false">D238+F238-G238</f>
        <v>4476019.37346525</v>
      </c>
    </row>
    <row r="239" customFormat="false" ht="15" hidden="false" customHeight="true" outlineLevel="0" collapsed="false">
      <c r="A239" s="1" t="s">
        <v>101</v>
      </c>
      <c r="B239" s="1" t="s">
        <v>73</v>
      </c>
      <c r="C239" s="7" t="n">
        <v>45839</v>
      </c>
      <c r="D239" s="6" t="n">
        <f aca="false">I238</f>
        <v>4476019.37346525</v>
      </c>
      <c r="E239" s="1" t="n">
        <v>30</v>
      </c>
      <c r="F239" s="6" t="n">
        <f aca="false">D239*((1+01_Lease_Master!$P$14)^(E239/365)-1)</f>
        <v>36883.4346300776</v>
      </c>
      <c r="G239" s="6" t="n">
        <f aca="false">SUMIFS(02_Payment_Schedule!E:E,02_Payment_Schedule!A:A,A239,02_Payment_Schedule!D:D,C239)</f>
        <v>100000</v>
      </c>
      <c r="H239" s="6" t="n">
        <f aca="false">G239-F239</f>
        <v>63116.5653699224</v>
      </c>
      <c r="I239" s="6" t="n">
        <f aca="false">MAX(0,D239+F239-G239)</f>
        <v>4412902.80809533</v>
      </c>
      <c r="J239" s="6" t="str">
        <f aca="false">IF(G239&gt;0,"YES","NO")</f>
        <v>YES</v>
      </c>
      <c r="K239" s="1" t="n">
        <f aca="false">D239+F239-G239</f>
        <v>4412902.80809533</v>
      </c>
    </row>
    <row r="240" customFormat="false" ht="15" hidden="false" customHeight="true" outlineLevel="0" collapsed="false">
      <c r="A240" s="1" t="s">
        <v>101</v>
      </c>
      <c r="B240" s="1" t="s">
        <v>73</v>
      </c>
      <c r="C240" s="7" t="n">
        <v>45870</v>
      </c>
      <c r="D240" s="6" t="n">
        <f aca="false">I239</f>
        <v>4412902.80809533</v>
      </c>
      <c r="E240" s="1" t="n">
        <v>31</v>
      </c>
      <c r="F240" s="6" t="n">
        <f aca="false">D240*((1+01_Lease_Master!$P$14)^(E240/365)-1)</f>
        <v>37580.5977147125</v>
      </c>
      <c r="G240" s="6" t="n">
        <f aca="false">SUMIFS(02_Payment_Schedule!E:E,02_Payment_Schedule!A:A,A240,02_Payment_Schedule!D:D,C240)</f>
        <v>100000</v>
      </c>
      <c r="H240" s="6" t="n">
        <f aca="false">G240-F240</f>
        <v>62419.4022852875</v>
      </c>
      <c r="I240" s="6" t="n">
        <f aca="false">MAX(0,D240+F240-G240)</f>
        <v>4350483.40581004</v>
      </c>
      <c r="J240" s="6" t="str">
        <f aca="false">IF(G240&gt;0,"YES","NO")</f>
        <v>YES</v>
      </c>
      <c r="K240" s="1" t="n">
        <f aca="false">D240+F240-G240</f>
        <v>4350483.40581004</v>
      </c>
    </row>
    <row r="241" customFormat="false" ht="15" hidden="false" customHeight="true" outlineLevel="0" collapsed="false">
      <c r="A241" s="1" t="s">
        <v>101</v>
      </c>
      <c r="B241" s="1" t="s">
        <v>73</v>
      </c>
      <c r="C241" s="7" t="n">
        <v>45901</v>
      </c>
      <c r="D241" s="6" t="n">
        <f aca="false">I240</f>
        <v>4350483.40581004</v>
      </c>
      <c r="E241" s="1" t="n">
        <v>31</v>
      </c>
      <c r="F241" s="6" t="n">
        <f aca="false">D241*((1+01_Lease_Master!$P$14)^(E241/365)-1)</f>
        <v>37049.029595294</v>
      </c>
      <c r="G241" s="6" t="n">
        <f aca="false">SUMIFS(02_Payment_Schedule!E:E,02_Payment_Schedule!A:A,A241,02_Payment_Schedule!D:D,C241)</f>
        <v>100000</v>
      </c>
      <c r="H241" s="6" t="n">
        <f aca="false">G241-F241</f>
        <v>62950.9704047061</v>
      </c>
      <c r="I241" s="6" t="n">
        <f aca="false">MAX(0,D241+F241-G241)</f>
        <v>4287532.43540533</v>
      </c>
      <c r="J241" s="6" t="str">
        <f aca="false">IF(G241&gt;0,"YES","NO")</f>
        <v>YES</v>
      </c>
      <c r="K241" s="1" t="n">
        <f aca="false">D241+F241-G241</f>
        <v>4287532.43540533</v>
      </c>
    </row>
    <row r="242" customFormat="false" ht="15" hidden="false" customHeight="true" outlineLevel="0" collapsed="false">
      <c r="A242" s="1" t="s">
        <v>101</v>
      </c>
      <c r="B242" s="1" t="s">
        <v>73</v>
      </c>
      <c r="C242" s="7" t="n">
        <v>45931</v>
      </c>
      <c r="D242" s="6" t="n">
        <f aca="false">I241</f>
        <v>4287532.43540533</v>
      </c>
      <c r="E242" s="1" t="n">
        <v>30</v>
      </c>
      <c r="F242" s="6" t="n">
        <f aca="false">D242*((1+01_Lease_Master!$P$14)^(E242/365)-1)</f>
        <v>35330.2586765128</v>
      </c>
      <c r="G242" s="6" t="n">
        <f aca="false">SUMIFS(02_Payment_Schedule!E:E,02_Payment_Schedule!A:A,A242,02_Payment_Schedule!D:D,C242)</f>
        <v>100000</v>
      </c>
      <c r="H242" s="6" t="n">
        <f aca="false">G242-F242</f>
        <v>64669.7413234872</v>
      </c>
      <c r="I242" s="6" t="n">
        <f aca="false">MAX(0,D242+F242-G242)</f>
        <v>4222862.69408185</v>
      </c>
      <c r="J242" s="6" t="str">
        <f aca="false">IF(G242&gt;0,"YES","NO")</f>
        <v>YES</v>
      </c>
      <c r="K242" s="1" t="n">
        <f aca="false">D242+F242-G242</f>
        <v>4222862.69408185</v>
      </c>
    </row>
    <row r="243" customFormat="false" ht="15" hidden="false" customHeight="true" outlineLevel="0" collapsed="false">
      <c r="A243" s="1" t="s">
        <v>101</v>
      </c>
      <c r="B243" s="1" t="s">
        <v>73</v>
      </c>
      <c r="C243" s="7" t="n">
        <v>45962</v>
      </c>
      <c r="D243" s="6" t="n">
        <f aca="false">I242</f>
        <v>4222862.69408185</v>
      </c>
      <c r="E243" s="1" t="n">
        <v>31</v>
      </c>
      <c r="F243" s="6" t="n">
        <f aca="false">D243*((1+01_Lease_Master!$P$14)^(E243/365)-1)</f>
        <v>35962.202435012</v>
      </c>
      <c r="G243" s="6" t="n">
        <f aca="false">SUMIFS(02_Payment_Schedule!E:E,02_Payment_Schedule!A:A,A243,02_Payment_Schedule!D:D,C243)</f>
        <v>100000</v>
      </c>
      <c r="H243" s="6" t="n">
        <f aca="false">G243-F243</f>
        <v>64037.797564988</v>
      </c>
      <c r="I243" s="6" t="n">
        <f aca="false">MAX(0,D243+F243-G243)</f>
        <v>4158824.89651686</v>
      </c>
      <c r="J243" s="6" t="str">
        <f aca="false">IF(G243&gt;0,"YES","NO")</f>
        <v>YES</v>
      </c>
      <c r="K243" s="1" t="n">
        <f aca="false">D243+F243-G243</f>
        <v>4158824.89651686</v>
      </c>
    </row>
    <row r="244" customFormat="false" ht="15" hidden="false" customHeight="true" outlineLevel="0" collapsed="false">
      <c r="A244" s="1" t="s">
        <v>101</v>
      </c>
      <c r="B244" s="1" t="s">
        <v>73</v>
      </c>
      <c r="C244" s="7" t="n">
        <v>45992</v>
      </c>
      <c r="D244" s="6" t="n">
        <f aca="false">I243</f>
        <v>4158824.89651686</v>
      </c>
      <c r="E244" s="1" t="n">
        <v>30</v>
      </c>
      <c r="F244" s="6" t="n">
        <f aca="false">D244*((1+01_Lease_Master!$P$14)^(E244/365)-1)</f>
        <v>34269.6787949481</v>
      </c>
      <c r="G244" s="6" t="n">
        <f aca="false">SUMIFS(02_Payment_Schedule!E:E,02_Payment_Schedule!A:A,A244,02_Payment_Schedule!D:D,C244)</f>
        <v>100000</v>
      </c>
      <c r="H244" s="6" t="n">
        <f aca="false">G244-F244</f>
        <v>65730.3212050519</v>
      </c>
      <c r="I244" s="6" t="n">
        <f aca="false">MAX(0,D244+F244-G244)</f>
        <v>4093094.5753118</v>
      </c>
      <c r="J244" s="6" t="str">
        <f aca="false">IF(G244&gt;0,"YES","NO")</f>
        <v>YES</v>
      </c>
      <c r="K244" s="1" t="n">
        <f aca="false">D244+F244-G244</f>
        <v>4093094.5753118</v>
      </c>
    </row>
    <row r="245" customFormat="false" ht="15" hidden="false" customHeight="true" outlineLevel="0" collapsed="false">
      <c r="A245" s="1" t="s">
        <v>101</v>
      </c>
      <c r="B245" s="1" t="s">
        <v>73</v>
      </c>
      <c r="C245" s="7" t="n">
        <v>46023</v>
      </c>
      <c r="D245" s="6" t="n">
        <f aca="false">I244</f>
        <v>4093094.5753118</v>
      </c>
      <c r="E245" s="1" t="n">
        <v>31</v>
      </c>
      <c r="F245" s="6" t="n">
        <f aca="false">D245*((1+01_Lease_Master!$P$14)^(E245/365)-1)</f>
        <v>34857.087801908</v>
      </c>
      <c r="G245" s="6" t="n">
        <f aca="false">SUMIFS(02_Payment_Schedule!E:E,02_Payment_Schedule!A:A,A245,02_Payment_Schedule!D:D,C245)</f>
        <v>100000</v>
      </c>
      <c r="H245" s="6" t="n">
        <f aca="false">G245-F245</f>
        <v>65142.912198092</v>
      </c>
      <c r="I245" s="6" t="n">
        <f aca="false">MAX(0,D245+F245-G245)</f>
        <v>4027951.66311371</v>
      </c>
      <c r="J245" s="6" t="str">
        <f aca="false">IF(G245&gt;0,"YES","NO")</f>
        <v>YES</v>
      </c>
      <c r="K245" s="1" t="n">
        <f aca="false">D245+F245-G245</f>
        <v>4027951.66311371</v>
      </c>
    </row>
    <row r="246" customFormat="false" ht="15" hidden="false" customHeight="true" outlineLevel="0" collapsed="false">
      <c r="A246" s="1" t="s">
        <v>101</v>
      </c>
      <c r="B246" s="1" t="s">
        <v>73</v>
      </c>
      <c r="C246" s="7" t="n">
        <v>46054</v>
      </c>
      <c r="D246" s="6" t="n">
        <f aca="false">I245</f>
        <v>4027951.66311371</v>
      </c>
      <c r="E246" s="1" t="n">
        <v>31</v>
      </c>
      <c r="F246" s="6" t="n">
        <f aca="false">D246*((1+01_Lease_Master!$P$14)^(E246/365)-1)</f>
        <v>34302.3260761817</v>
      </c>
      <c r="G246" s="6" t="n">
        <f aca="false">SUMIFS(02_Payment_Schedule!E:E,02_Payment_Schedule!A:A,A246,02_Payment_Schedule!D:D,C246)</f>
        <v>100000</v>
      </c>
      <c r="H246" s="6" t="n">
        <f aca="false">G246-F246</f>
        <v>65697.6739238183</v>
      </c>
      <c r="I246" s="6" t="n">
        <f aca="false">MAX(0,D246+F246-G246)</f>
        <v>3962253.98918989</v>
      </c>
      <c r="J246" s="6" t="str">
        <f aca="false">IF(G246&gt;0,"YES","NO")</f>
        <v>YES</v>
      </c>
      <c r="K246" s="1" t="n">
        <f aca="false">D246+F246-G246</f>
        <v>3962253.98918989</v>
      </c>
    </row>
    <row r="247" customFormat="false" ht="15" hidden="false" customHeight="true" outlineLevel="0" collapsed="false">
      <c r="A247" s="1" t="s">
        <v>101</v>
      </c>
      <c r="B247" s="1" t="s">
        <v>73</v>
      </c>
      <c r="C247" s="7" t="n">
        <v>46082</v>
      </c>
      <c r="D247" s="6" t="n">
        <f aca="false">I246</f>
        <v>3962253.98918989</v>
      </c>
      <c r="E247" s="1" t="n">
        <v>28</v>
      </c>
      <c r="F247" s="6" t="n">
        <f aca="false">D247*((1+01_Lease_Master!$P$14)^(E247/365)-1)</f>
        <v>30464.8839986851</v>
      </c>
      <c r="G247" s="6" t="n">
        <f aca="false">SUMIFS(02_Payment_Schedule!E:E,02_Payment_Schedule!A:A,A247,02_Payment_Schedule!D:D,C247)</f>
        <v>100000</v>
      </c>
      <c r="H247" s="6" t="n">
        <f aca="false">G247-F247</f>
        <v>69535.1160013149</v>
      </c>
      <c r="I247" s="6" t="n">
        <f aca="false">MAX(0,D247+F247-G247)</f>
        <v>3892718.87318858</v>
      </c>
      <c r="J247" s="6" t="str">
        <f aca="false">IF(G247&gt;0,"YES","NO")</f>
        <v>YES</v>
      </c>
      <c r="K247" s="1" t="n">
        <f aca="false">D247+F247-G247</f>
        <v>3892718.87318858</v>
      </c>
    </row>
    <row r="248" customFormat="false" ht="15" hidden="false" customHeight="true" outlineLevel="0" collapsed="false">
      <c r="A248" s="1" t="s">
        <v>101</v>
      </c>
      <c r="B248" s="1" t="s">
        <v>73</v>
      </c>
      <c r="C248" s="7" t="n">
        <v>46113</v>
      </c>
      <c r="D248" s="6" t="n">
        <f aca="false">I247</f>
        <v>3892718.87318858</v>
      </c>
      <c r="E248" s="1" t="n">
        <v>31</v>
      </c>
      <c r="F248" s="6" t="n">
        <f aca="false">D248*((1+01_Lease_Master!$P$14)^(E248/365)-1)</f>
        <v>33150.6739104708</v>
      </c>
      <c r="G248" s="6" t="n">
        <f aca="false">SUMIFS(02_Payment_Schedule!E:E,02_Payment_Schedule!A:A,A248,02_Payment_Schedule!D:D,C248)</f>
        <v>100000</v>
      </c>
      <c r="H248" s="6" t="n">
        <f aca="false">G248-F248</f>
        <v>66849.3260895292</v>
      </c>
      <c r="I248" s="6" t="n">
        <f aca="false">MAX(0,D248+F248-G248)</f>
        <v>3825869.54709905</v>
      </c>
      <c r="J248" s="6" t="str">
        <f aca="false">IF(G248&gt;0,"YES","NO")</f>
        <v>YES</v>
      </c>
      <c r="K248" s="1" t="n">
        <f aca="false">D248+F248-G248</f>
        <v>3825869.54709905</v>
      </c>
    </row>
    <row r="249" customFormat="false" ht="15" hidden="false" customHeight="true" outlineLevel="0" collapsed="false">
      <c r="A249" s="1" t="s">
        <v>101</v>
      </c>
      <c r="B249" s="1" t="s">
        <v>73</v>
      </c>
      <c r="C249" s="7" t="n">
        <v>46143</v>
      </c>
      <c r="D249" s="6" t="n">
        <f aca="false">I248</f>
        <v>3825869.54709905</v>
      </c>
      <c r="E249" s="1" t="n">
        <v>30</v>
      </c>
      <c r="F249" s="6" t="n">
        <f aca="false">D249*((1+01_Lease_Master!$P$14)^(E249/365)-1)</f>
        <v>31526.0497262743</v>
      </c>
      <c r="G249" s="6" t="n">
        <f aca="false">SUMIFS(02_Payment_Schedule!E:E,02_Payment_Schedule!A:A,A249,02_Payment_Schedule!D:D,C249)</f>
        <v>100000</v>
      </c>
      <c r="H249" s="6" t="n">
        <f aca="false">G249-F249</f>
        <v>68473.9502737257</v>
      </c>
      <c r="I249" s="6" t="n">
        <f aca="false">MAX(0,D249+F249-G249)</f>
        <v>3757395.59682532</v>
      </c>
      <c r="J249" s="6" t="str">
        <f aca="false">IF(G249&gt;0,"YES","NO")</f>
        <v>YES</v>
      </c>
      <c r="K249" s="1" t="n">
        <f aca="false">D249+F249-G249</f>
        <v>3757395.59682532</v>
      </c>
    </row>
    <row r="250" customFormat="false" ht="15" hidden="false" customHeight="true" outlineLevel="0" collapsed="false">
      <c r="A250" s="1" t="s">
        <v>101</v>
      </c>
      <c r="B250" s="1" t="s">
        <v>73</v>
      </c>
      <c r="C250" s="7" t="n">
        <v>46174</v>
      </c>
      <c r="D250" s="6" t="n">
        <f aca="false">I249</f>
        <v>3757395.59682532</v>
      </c>
      <c r="E250" s="1" t="n">
        <v>31</v>
      </c>
      <c r="F250" s="6" t="n">
        <f aca="false">D250*((1+01_Lease_Master!$P$14)^(E250/365)-1)</f>
        <v>31998.2511557446</v>
      </c>
      <c r="G250" s="6" t="n">
        <f aca="false">SUMIFS(02_Payment_Schedule!E:E,02_Payment_Schedule!A:A,A250,02_Payment_Schedule!D:D,C250)</f>
        <v>115000</v>
      </c>
      <c r="H250" s="6" t="n">
        <f aca="false">G250-F250</f>
        <v>83001.7488442554</v>
      </c>
      <c r="I250" s="6" t="n">
        <f aca="false">MAX(0,D250+F250-G250)</f>
        <v>3674393.84798107</v>
      </c>
      <c r="J250" s="6" t="str">
        <f aca="false">IF(G250&gt;0,"YES","NO")</f>
        <v>YES</v>
      </c>
      <c r="K250" s="1" t="n">
        <f aca="false">D250+F250-G250</f>
        <v>3674393.84798107</v>
      </c>
    </row>
    <row r="251" customFormat="false" ht="15" hidden="false" customHeight="true" outlineLevel="0" collapsed="false">
      <c r="A251" s="1" t="s">
        <v>101</v>
      </c>
      <c r="B251" s="1" t="s">
        <v>73</v>
      </c>
      <c r="C251" s="7" t="n">
        <v>46204</v>
      </c>
      <c r="D251" s="6" t="n">
        <f aca="false">I250</f>
        <v>3674393.84798107</v>
      </c>
      <c r="E251" s="1" t="n">
        <v>30</v>
      </c>
      <c r="F251" s="6" t="n">
        <f aca="false">D251*((1+01_Lease_Master!$P$14)^(E251/365)-1)</f>
        <v>30277.8549397227</v>
      </c>
      <c r="G251" s="6" t="n">
        <f aca="false">SUMIFS(02_Payment_Schedule!E:E,02_Payment_Schedule!A:A,A251,02_Payment_Schedule!D:D,C251)</f>
        <v>115000</v>
      </c>
      <c r="H251" s="6" t="n">
        <f aca="false">G251-F251</f>
        <v>84722.1450602773</v>
      </c>
      <c r="I251" s="6" t="n">
        <f aca="false">MAX(0,D251+F251-G251)</f>
        <v>3589671.70292079</v>
      </c>
      <c r="J251" s="6" t="str">
        <f aca="false">IF(G251&gt;0,"YES","NO")</f>
        <v>YES</v>
      </c>
      <c r="K251" s="1" t="n">
        <f aca="false">D251+F251-G251</f>
        <v>3589671.70292079</v>
      </c>
    </row>
    <row r="252" customFormat="false" ht="15" hidden="false" customHeight="true" outlineLevel="0" collapsed="false">
      <c r="A252" s="1" t="s">
        <v>101</v>
      </c>
      <c r="B252" s="1" t="s">
        <v>73</v>
      </c>
      <c r="C252" s="7" t="n">
        <v>46235</v>
      </c>
      <c r="D252" s="6" t="n">
        <f aca="false">I251</f>
        <v>3589671.70292079</v>
      </c>
      <c r="E252" s="1" t="n">
        <v>31</v>
      </c>
      <c r="F252" s="6" t="n">
        <f aca="false">D252*((1+01_Lease_Master!$P$14)^(E252/365)-1)</f>
        <v>30569.9024116008</v>
      </c>
      <c r="G252" s="6" t="n">
        <f aca="false">SUMIFS(02_Payment_Schedule!E:E,02_Payment_Schedule!A:A,A252,02_Payment_Schedule!D:D,C252)</f>
        <v>115000</v>
      </c>
      <c r="H252" s="6" t="n">
        <f aca="false">G252-F252</f>
        <v>84430.0975883992</v>
      </c>
      <c r="I252" s="6" t="n">
        <f aca="false">MAX(0,D252+F252-G252)</f>
        <v>3505241.60533239</v>
      </c>
      <c r="J252" s="6" t="str">
        <f aca="false">IF(G252&gt;0,"YES","NO")</f>
        <v>YES</v>
      </c>
      <c r="K252" s="1" t="n">
        <f aca="false">D252+F252-G252</f>
        <v>3505241.60533239</v>
      </c>
    </row>
    <row r="253" customFormat="false" ht="15" hidden="false" customHeight="true" outlineLevel="0" collapsed="false">
      <c r="A253" s="1" t="s">
        <v>101</v>
      </c>
      <c r="B253" s="1" t="s">
        <v>73</v>
      </c>
      <c r="C253" s="7" t="n">
        <v>46266</v>
      </c>
      <c r="D253" s="6" t="n">
        <f aca="false">I252</f>
        <v>3505241.60533239</v>
      </c>
      <c r="E253" s="1" t="n">
        <v>31</v>
      </c>
      <c r="F253" s="6" t="n">
        <f aca="false">D253*((1+01_Lease_Master!$P$14)^(E253/365)-1)</f>
        <v>29850.889627847</v>
      </c>
      <c r="G253" s="6" t="n">
        <f aca="false">SUMIFS(02_Payment_Schedule!E:E,02_Payment_Schedule!A:A,A253,02_Payment_Schedule!D:D,C253)</f>
        <v>115000</v>
      </c>
      <c r="H253" s="6" t="n">
        <f aca="false">G253-F253</f>
        <v>85149.110372153</v>
      </c>
      <c r="I253" s="6" t="n">
        <f aca="false">MAX(0,D253+F253-G253)</f>
        <v>3420092.49496024</v>
      </c>
      <c r="J253" s="6" t="str">
        <f aca="false">IF(G253&gt;0,"YES","NO")</f>
        <v>YES</v>
      </c>
      <c r="K253" s="1" t="n">
        <f aca="false">D253+F253-G253</f>
        <v>3420092.49496024</v>
      </c>
    </row>
    <row r="254" customFormat="false" ht="15" hidden="false" customHeight="true" outlineLevel="0" collapsed="false">
      <c r="A254" s="1" t="s">
        <v>101</v>
      </c>
      <c r="B254" s="1" t="s">
        <v>73</v>
      </c>
      <c r="C254" s="7" t="n">
        <v>46271</v>
      </c>
      <c r="D254" s="6" t="n">
        <f aca="false">I253</f>
        <v>3420092.49496024</v>
      </c>
      <c r="E254" s="1" t="n">
        <v>5</v>
      </c>
      <c r="F254" s="6" t="n">
        <f aca="false">D254*((1+01_Lease_Master!$P$14)^(E254/365)-1)</f>
        <v>4681.01254998175</v>
      </c>
      <c r="G254" s="6" t="n">
        <f aca="false">SUMIFS(02_Payment_Schedule!E:E,02_Payment_Schedule!A:A,A254,02_Payment_Schedule!D:D,C254)</f>
        <v>0</v>
      </c>
      <c r="H254" s="6" t="n">
        <f aca="false">G254-F254</f>
        <v>-4681.01254998175</v>
      </c>
      <c r="I254" s="6" t="n">
        <f aca="false">MAX(0,D254+F254-G254)</f>
        <v>3424773.50751022</v>
      </c>
      <c r="J254" s="6" t="str">
        <f aca="false">IF(G254&gt;0,"YES","NO")</f>
        <v>NO</v>
      </c>
      <c r="K254" s="1" t="n">
        <f aca="false">D254+F254-G254</f>
        <v>3424773.50751022</v>
      </c>
    </row>
    <row r="255" customFormat="false" ht="15" hidden="false" customHeight="true" outlineLevel="0" collapsed="false">
      <c r="A255" s="1" t="s">
        <v>104</v>
      </c>
      <c r="B255" s="1" t="s">
        <v>73</v>
      </c>
      <c r="C255" s="7" t="n">
        <v>45383</v>
      </c>
      <c r="D255" s="6" t="n">
        <f aca="false">03_Initial_Recognition!$B$15</f>
        <v>8629894.79536913</v>
      </c>
      <c r="E255" s="1" t="n">
        <v>0</v>
      </c>
      <c r="F255" s="6" t="n">
        <f aca="false">D255*((1+01_Lease_Master!$P$15)^(E255/365)-1)</f>
        <v>0</v>
      </c>
      <c r="G255" s="6" t="n">
        <f aca="false">SUMIFS(02_Payment_Schedule!E:E,02_Payment_Schedule!A:A,A255,02_Payment_Schedule!D:D,C255)</f>
        <v>500000</v>
      </c>
      <c r="H255" s="6" t="n">
        <f aca="false">G255-F255</f>
        <v>500000</v>
      </c>
      <c r="I255" s="6" t="n">
        <f aca="false">MAX(0,D255+F255-G255)</f>
        <v>8129894.79536913</v>
      </c>
      <c r="J255" s="6" t="str">
        <f aca="false">IF(G255&gt;0,"YES","NO")</f>
        <v>YES</v>
      </c>
      <c r="K255" s="1" t="n">
        <f aca="false">D255+F255-G255</f>
        <v>8129894.79536913</v>
      </c>
    </row>
    <row r="256" customFormat="false" ht="15" hidden="false" customHeight="true" outlineLevel="0" collapsed="false">
      <c r="A256" s="1" t="s">
        <v>104</v>
      </c>
      <c r="B256" s="1" t="s">
        <v>73</v>
      </c>
      <c r="C256" s="7" t="n">
        <v>45413</v>
      </c>
      <c r="D256" s="6" t="n">
        <f aca="false">I255</f>
        <v>8129894.79536913</v>
      </c>
      <c r="E256" s="1" t="n">
        <v>30</v>
      </c>
      <c r="F256" s="6" t="n">
        <f aca="false">D256*((1+01_Lease_Master!$P$15)^(E256/365)-1)</f>
        <v>59331.1309069936</v>
      </c>
      <c r="G256" s="6" t="n">
        <f aca="false">SUMIFS(02_Payment_Schedule!E:E,02_Payment_Schedule!A:A,A256,02_Payment_Schedule!D:D,C256)</f>
        <v>0</v>
      </c>
      <c r="H256" s="6" t="n">
        <f aca="false">G256-F256</f>
        <v>-59331.1309069936</v>
      </c>
      <c r="I256" s="6" t="n">
        <f aca="false">MAX(0,D256+F256-G256)</f>
        <v>8189225.92627613</v>
      </c>
      <c r="J256" s="6" t="str">
        <f aca="false">IF(G256&gt;0,"YES","NO")</f>
        <v>NO</v>
      </c>
      <c r="K256" s="1" t="n">
        <f aca="false">D256+F256-G256</f>
        <v>8189225.92627613</v>
      </c>
    </row>
    <row r="257" customFormat="false" ht="15" hidden="false" customHeight="true" outlineLevel="0" collapsed="false">
      <c r="A257" s="1" t="s">
        <v>104</v>
      </c>
      <c r="B257" s="1" t="s">
        <v>73</v>
      </c>
      <c r="C257" s="7" t="n">
        <v>45444</v>
      </c>
      <c r="D257" s="6" t="n">
        <f aca="false">I256</f>
        <v>8189225.92627613</v>
      </c>
      <c r="E257" s="1" t="n">
        <v>31</v>
      </c>
      <c r="F257" s="6" t="n">
        <f aca="false">D257*((1+01_Lease_Master!$P$15)^(E257/365)-1)</f>
        <v>61763.7547187063</v>
      </c>
      <c r="G257" s="6" t="n">
        <f aca="false">SUMIFS(02_Payment_Schedule!E:E,02_Payment_Schedule!A:A,A257,02_Payment_Schedule!D:D,C257)</f>
        <v>0</v>
      </c>
      <c r="H257" s="6" t="n">
        <f aca="false">G257-F257</f>
        <v>-61763.7547187063</v>
      </c>
      <c r="I257" s="6" t="n">
        <f aca="false">MAX(0,D257+F257-G257)</f>
        <v>8250989.68099483</v>
      </c>
      <c r="J257" s="6" t="str">
        <f aca="false">IF(G257&gt;0,"YES","NO")</f>
        <v>NO</v>
      </c>
      <c r="K257" s="1" t="n">
        <f aca="false">D257+F257-G257</f>
        <v>8250989.68099483</v>
      </c>
    </row>
    <row r="258" customFormat="false" ht="15" hidden="false" customHeight="true" outlineLevel="0" collapsed="false">
      <c r="A258" s="1" t="s">
        <v>104</v>
      </c>
      <c r="B258" s="1" t="s">
        <v>73</v>
      </c>
      <c r="C258" s="7" t="n">
        <v>45474</v>
      </c>
      <c r="D258" s="6" t="n">
        <f aca="false">I257</f>
        <v>8250989.68099483</v>
      </c>
      <c r="E258" s="1" t="n">
        <v>30</v>
      </c>
      <c r="F258" s="6" t="n">
        <f aca="false">D258*((1+01_Lease_Master!$P$15)^(E258/365)-1)</f>
        <v>60214.8688509727</v>
      </c>
      <c r="G258" s="6" t="n">
        <f aca="false">SUMIFS(02_Payment_Schedule!E:E,02_Payment_Schedule!A:A,A258,02_Payment_Schedule!D:D,C258)</f>
        <v>500000</v>
      </c>
      <c r="H258" s="6" t="n">
        <f aca="false">G258-F258</f>
        <v>439785.131149027</v>
      </c>
      <c r="I258" s="6" t="n">
        <f aca="false">MAX(0,D258+F258-G258)</f>
        <v>7811204.5498458</v>
      </c>
      <c r="J258" s="6" t="str">
        <f aca="false">IF(G258&gt;0,"YES","NO")</f>
        <v>YES</v>
      </c>
      <c r="K258" s="1" t="n">
        <f aca="false">D258+F258-G258</f>
        <v>7811204.5498458</v>
      </c>
    </row>
    <row r="259" customFormat="false" ht="15" hidden="false" customHeight="true" outlineLevel="0" collapsed="false">
      <c r="A259" s="1" t="s">
        <v>104</v>
      </c>
      <c r="B259" s="1" t="s">
        <v>73</v>
      </c>
      <c r="C259" s="7" t="n">
        <v>45505</v>
      </c>
      <c r="D259" s="6" t="n">
        <f aca="false">I258</f>
        <v>7811204.5498458</v>
      </c>
      <c r="E259" s="1" t="n">
        <v>31</v>
      </c>
      <c r="F259" s="6" t="n">
        <f aca="false">D259*((1+01_Lease_Master!$P$15)^(E259/365)-1)</f>
        <v>58912.689211116</v>
      </c>
      <c r="G259" s="6" t="n">
        <f aca="false">SUMIFS(02_Payment_Schedule!E:E,02_Payment_Schedule!A:A,A259,02_Payment_Schedule!D:D,C259)</f>
        <v>0</v>
      </c>
      <c r="H259" s="6" t="n">
        <f aca="false">G259-F259</f>
        <v>-58912.689211116</v>
      </c>
      <c r="I259" s="6" t="n">
        <f aca="false">MAX(0,D259+F259-G259)</f>
        <v>7870117.23905692</v>
      </c>
      <c r="J259" s="6" t="str">
        <f aca="false">IF(G259&gt;0,"YES","NO")</f>
        <v>NO</v>
      </c>
      <c r="K259" s="1" t="n">
        <f aca="false">D259+F259-G259</f>
        <v>7870117.23905692</v>
      </c>
    </row>
    <row r="260" customFormat="false" ht="15" hidden="false" customHeight="true" outlineLevel="0" collapsed="false">
      <c r="A260" s="1" t="s">
        <v>104</v>
      </c>
      <c r="B260" s="1" t="s">
        <v>73</v>
      </c>
      <c r="C260" s="7" t="n">
        <v>45536</v>
      </c>
      <c r="D260" s="6" t="n">
        <f aca="false">I259</f>
        <v>7870117.23905692</v>
      </c>
      <c r="E260" s="1" t="n">
        <v>31</v>
      </c>
      <c r="F260" s="6" t="n">
        <f aca="false">D260*((1+01_Lease_Master!$P$15)^(E260/365)-1)</f>
        <v>59357.0131214601</v>
      </c>
      <c r="G260" s="6" t="n">
        <f aca="false">SUMIFS(02_Payment_Schedule!E:E,02_Payment_Schedule!A:A,A260,02_Payment_Schedule!D:D,C260)</f>
        <v>0</v>
      </c>
      <c r="H260" s="6" t="n">
        <f aca="false">G260-F260</f>
        <v>-59357.0131214601</v>
      </c>
      <c r="I260" s="6" t="n">
        <f aca="false">MAX(0,D260+F260-G260)</f>
        <v>7929474.25217838</v>
      </c>
      <c r="J260" s="6" t="str">
        <f aca="false">IF(G260&gt;0,"YES","NO")</f>
        <v>NO</v>
      </c>
      <c r="K260" s="1" t="n">
        <f aca="false">D260+F260-G260</f>
        <v>7929474.25217838</v>
      </c>
    </row>
    <row r="261" customFormat="false" ht="15" hidden="false" customHeight="true" outlineLevel="0" collapsed="false">
      <c r="A261" s="1" t="s">
        <v>104</v>
      </c>
      <c r="B261" s="1" t="s">
        <v>73</v>
      </c>
      <c r="C261" s="7" t="n">
        <v>45566</v>
      </c>
      <c r="D261" s="6" t="n">
        <f aca="false">I260</f>
        <v>7929474.25217838</v>
      </c>
      <c r="E261" s="1" t="n">
        <v>30</v>
      </c>
      <c r="F261" s="6" t="n">
        <f aca="false">D261*((1+01_Lease_Master!$P$15)^(E261/365)-1)</f>
        <v>57868.4825229979</v>
      </c>
      <c r="G261" s="6" t="n">
        <f aca="false">SUMIFS(02_Payment_Schedule!E:E,02_Payment_Schedule!A:A,A261,02_Payment_Schedule!D:D,C261)</f>
        <v>500000</v>
      </c>
      <c r="H261" s="6" t="n">
        <f aca="false">G261-F261</f>
        <v>442131.517477002</v>
      </c>
      <c r="I261" s="6" t="n">
        <f aca="false">MAX(0,D261+F261-G261)</f>
        <v>7487342.73470138</v>
      </c>
      <c r="J261" s="6" t="str">
        <f aca="false">IF(G261&gt;0,"YES","NO")</f>
        <v>YES</v>
      </c>
      <c r="K261" s="1" t="n">
        <f aca="false">D261+F261-G261</f>
        <v>7487342.73470138</v>
      </c>
    </row>
    <row r="262" customFormat="false" ht="15" hidden="false" customHeight="true" outlineLevel="0" collapsed="false">
      <c r="A262" s="1" t="s">
        <v>104</v>
      </c>
      <c r="B262" s="1" t="s">
        <v>73</v>
      </c>
      <c r="C262" s="7" t="n">
        <v>45597</v>
      </c>
      <c r="D262" s="6" t="n">
        <f aca="false">I261</f>
        <v>7487342.73470138</v>
      </c>
      <c r="E262" s="1" t="n">
        <v>31</v>
      </c>
      <c r="F262" s="6" t="n">
        <f aca="false">D262*((1+01_Lease_Master!$P$15)^(E262/365)-1)</f>
        <v>56470.0991673911</v>
      </c>
      <c r="G262" s="6" t="n">
        <f aca="false">SUMIFS(02_Payment_Schedule!E:E,02_Payment_Schedule!A:A,A262,02_Payment_Schedule!D:D,C262)</f>
        <v>0</v>
      </c>
      <c r="H262" s="6" t="n">
        <f aca="false">G262-F262</f>
        <v>-56470.0991673911</v>
      </c>
      <c r="I262" s="6" t="n">
        <f aca="false">MAX(0,D262+F262-G262)</f>
        <v>7543812.83386877</v>
      </c>
      <c r="J262" s="6" t="str">
        <f aca="false">IF(G262&gt;0,"YES","NO")</f>
        <v>NO</v>
      </c>
      <c r="K262" s="1" t="n">
        <f aca="false">D262+F262-G262</f>
        <v>7543812.83386877</v>
      </c>
    </row>
    <row r="263" customFormat="false" ht="15" hidden="false" customHeight="true" outlineLevel="0" collapsed="false">
      <c r="A263" s="1" t="s">
        <v>104</v>
      </c>
      <c r="B263" s="1" t="s">
        <v>73</v>
      </c>
      <c r="C263" s="7" t="n">
        <v>45627</v>
      </c>
      <c r="D263" s="6" t="n">
        <f aca="false">I262</f>
        <v>7543812.83386877</v>
      </c>
      <c r="E263" s="1" t="n">
        <v>30</v>
      </c>
      <c r="F263" s="6" t="n">
        <f aca="false">D263*((1+01_Lease_Master!$P$15)^(E263/365)-1)</f>
        <v>55053.9654017508</v>
      </c>
      <c r="G263" s="6" t="n">
        <f aca="false">SUMIFS(02_Payment_Schedule!E:E,02_Payment_Schedule!A:A,A263,02_Payment_Schedule!D:D,C263)</f>
        <v>0</v>
      </c>
      <c r="H263" s="6" t="n">
        <f aca="false">G263-F263</f>
        <v>-55053.9654017508</v>
      </c>
      <c r="I263" s="6" t="n">
        <f aca="false">MAX(0,D263+F263-G263)</f>
        <v>7598866.79927052</v>
      </c>
      <c r="J263" s="6" t="str">
        <f aca="false">IF(G263&gt;0,"YES","NO")</f>
        <v>NO</v>
      </c>
      <c r="K263" s="1" t="n">
        <f aca="false">D263+F263-G263</f>
        <v>7598866.79927052</v>
      </c>
    </row>
    <row r="264" customFormat="false" ht="15" hidden="false" customHeight="true" outlineLevel="0" collapsed="false">
      <c r="A264" s="1" t="s">
        <v>104</v>
      </c>
      <c r="B264" s="1" t="s">
        <v>73</v>
      </c>
      <c r="C264" s="7" t="n">
        <v>45658</v>
      </c>
      <c r="D264" s="6" t="n">
        <f aca="false">I263</f>
        <v>7598866.79927052</v>
      </c>
      <c r="E264" s="1" t="n">
        <v>31</v>
      </c>
      <c r="F264" s="6" t="n">
        <f aca="false">D264*((1+01_Lease_Master!$P$15)^(E264/365)-1)</f>
        <v>57311.2220074852</v>
      </c>
      <c r="G264" s="6" t="n">
        <f aca="false">SUMIFS(02_Payment_Schedule!E:E,02_Payment_Schedule!A:A,A264,02_Payment_Schedule!D:D,C264)</f>
        <v>500000</v>
      </c>
      <c r="H264" s="6" t="n">
        <f aca="false">G264-F264</f>
        <v>442688.777992515</v>
      </c>
      <c r="I264" s="6" t="n">
        <f aca="false">MAX(0,D264+F264-G264)</f>
        <v>7156178.02127801</v>
      </c>
      <c r="J264" s="6" t="str">
        <f aca="false">IF(G264&gt;0,"YES","NO")</f>
        <v>YES</v>
      </c>
      <c r="K264" s="1" t="n">
        <f aca="false">D264+F264-G264</f>
        <v>7156178.02127801</v>
      </c>
    </row>
    <row r="265" customFormat="false" ht="15" hidden="false" customHeight="true" outlineLevel="0" collapsed="false">
      <c r="A265" s="1" t="s">
        <v>104</v>
      </c>
      <c r="B265" s="1" t="s">
        <v>73</v>
      </c>
      <c r="C265" s="7" t="n">
        <v>45689</v>
      </c>
      <c r="D265" s="6" t="n">
        <f aca="false">I264</f>
        <v>7156178.02127801</v>
      </c>
      <c r="E265" s="1" t="n">
        <v>31</v>
      </c>
      <c r="F265" s="6" t="n">
        <f aca="false">D265*((1+01_Lease_Master!$P$15)^(E265/365)-1)</f>
        <v>53972.4301183858</v>
      </c>
      <c r="G265" s="6" t="n">
        <f aca="false">SUMIFS(02_Payment_Schedule!E:E,02_Payment_Schedule!A:A,A265,02_Payment_Schedule!D:D,C265)</f>
        <v>0</v>
      </c>
      <c r="H265" s="6" t="n">
        <f aca="false">G265-F265</f>
        <v>-53972.4301183858</v>
      </c>
      <c r="I265" s="6" t="n">
        <f aca="false">MAX(0,D265+F265-G265)</f>
        <v>7210150.45139639</v>
      </c>
      <c r="J265" s="6" t="str">
        <f aca="false">IF(G265&gt;0,"YES","NO")</f>
        <v>NO</v>
      </c>
      <c r="K265" s="1" t="n">
        <f aca="false">D265+F265-G265</f>
        <v>7210150.45139639</v>
      </c>
    </row>
    <row r="266" customFormat="false" ht="15" hidden="false" customHeight="true" outlineLevel="0" collapsed="false">
      <c r="A266" s="1" t="s">
        <v>104</v>
      </c>
      <c r="B266" s="1" t="s">
        <v>73</v>
      </c>
      <c r="C266" s="7" t="n">
        <v>45717</v>
      </c>
      <c r="D266" s="6" t="n">
        <f aca="false">I265</f>
        <v>7210150.45139639</v>
      </c>
      <c r="E266" s="1" t="n">
        <v>28</v>
      </c>
      <c r="F266" s="6" t="n">
        <f aca="false">D266*((1+01_Lease_Master!$P$15)^(E266/365)-1)</f>
        <v>49099.0870550696</v>
      </c>
      <c r="G266" s="6" t="n">
        <f aca="false">SUMIFS(02_Payment_Schedule!E:E,02_Payment_Schedule!A:A,A266,02_Payment_Schedule!D:D,C266)</f>
        <v>0</v>
      </c>
      <c r="H266" s="6" t="n">
        <f aca="false">G266-F266</f>
        <v>-49099.0870550696</v>
      </c>
      <c r="I266" s="6" t="n">
        <f aca="false">MAX(0,D266+F266-G266)</f>
        <v>7259249.53845146</v>
      </c>
      <c r="J266" s="6" t="str">
        <f aca="false">IF(G266&gt;0,"YES","NO")</f>
        <v>NO</v>
      </c>
      <c r="K266" s="1" t="n">
        <f aca="false">D266+F266-G266</f>
        <v>7259249.53845146</v>
      </c>
    </row>
    <row r="267" customFormat="false" ht="15" hidden="false" customHeight="true" outlineLevel="0" collapsed="false">
      <c r="A267" s="1" t="s">
        <v>104</v>
      </c>
      <c r="B267" s="1" t="s">
        <v>73</v>
      </c>
      <c r="C267" s="7" t="n">
        <v>45748</v>
      </c>
      <c r="D267" s="6" t="n">
        <f aca="false">I266</f>
        <v>7259249.53845146</v>
      </c>
      <c r="E267" s="1" t="n">
        <v>31</v>
      </c>
      <c r="F267" s="6" t="n">
        <f aca="false">D267*((1+01_Lease_Master!$P$15)^(E267/365)-1)</f>
        <v>54749.8032135351</v>
      </c>
      <c r="G267" s="6" t="n">
        <f aca="false">SUMIFS(02_Payment_Schedule!E:E,02_Payment_Schedule!A:A,A267,02_Payment_Schedule!D:D,C267)</f>
        <v>515000</v>
      </c>
      <c r="H267" s="6" t="n">
        <f aca="false">G267-F267</f>
        <v>460250.196786465</v>
      </c>
      <c r="I267" s="6" t="n">
        <f aca="false">MAX(0,D267+F267-G267)</f>
        <v>6798999.341665</v>
      </c>
      <c r="J267" s="6" t="str">
        <f aca="false">IF(G267&gt;0,"YES","NO")</f>
        <v>YES</v>
      </c>
      <c r="K267" s="1" t="n">
        <f aca="false">D267+F267-G267</f>
        <v>6798999.341665</v>
      </c>
    </row>
    <row r="268" customFormat="false" ht="15" hidden="false" customHeight="true" outlineLevel="0" collapsed="false">
      <c r="A268" s="1" t="s">
        <v>104</v>
      </c>
      <c r="B268" s="1" t="s">
        <v>73</v>
      </c>
      <c r="C268" s="7" t="n">
        <v>45778</v>
      </c>
      <c r="D268" s="6" t="n">
        <f aca="false">I267</f>
        <v>6798999.341665</v>
      </c>
      <c r="E268" s="1" t="n">
        <v>30</v>
      </c>
      <c r="F268" s="6" t="n">
        <f aca="false">D268*((1+01_Lease_Master!$P$15)^(E268/365)-1)</f>
        <v>49618.3936115219</v>
      </c>
      <c r="G268" s="6" t="n">
        <f aca="false">SUMIFS(02_Payment_Schedule!E:E,02_Payment_Schedule!A:A,A268,02_Payment_Schedule!D:D,C268)</f>
        <v>0</v>
      </c>
      <c r="H268" s="6" t="n">
        <f aca="false">G268-F268</f>
        <v>-49618.3936115219</v>
      </c>
      <c r="I268" s="6" t="n">
        <f aca="false">MAX(0,D268+F268-G268)</f>
        <v>6848617.73527652</v>
      </c>
      <c r="J268" s="6" t="str">
        <f aca="false">IF(G268&gt;0,"YES","NO")</f>
        <v>NO</v>
      </c>
      <c r="K268" s="1" t="n">
        <f aca="false">D268+F268-G268</f>
        <v>6848617.73527652</v>
      </c>
    </row>
    <row r="269" customFormat="false" ht="15" hidden="false" customHeight="true" outlineLevel="0" collapsed="false">
      <c r="A269" s="1" t="s">
        <v>104</v>
      </c>
      <c r="B269" s="1" t="s">
        <v>73</v>
      </c>
      <c r="C269" s="7" t="n">
        <v>45809</v>
      </c>
      <c r="D269" s="6" t="n">
        <f aca="false">I268</f>
        <v>6848617.73527652</v>
      </c>
      <c r="E269" s="1" t="n">
        <v>31</v>
      </c>
      <c r="F269" s="6" t="n">
        <f aca="false">D269*((1+01_Lease_Master!$P$15)^(E269/365)-1)</f>
        <v>51652.7874272665</v>
      </c>
      <c r="G269" s="6" t="n">
        <f aca="false">SUMIFS(02_Payment_Schedule!E:E,02_Payment_Schedule!A:A,A269,02_Payment_Schedule!D:D,C269)</f>
        <v>0</v>
      </c>
      <c r="H269" s="6" t="n">
        <f aca="false">G269-F269</f>
        <v>-51652.7874272665</v>
      </c>
      <c r="I269" s="6" t="n">
        <f aca="false">MAX(0,D269+F269-G269)</f>
        <v>6900270.52270378</v>
      </c>
      <c r="J269" s="6" t="str">
        <f aca="false">IF(G269&gt;0,"YES","NO")</f>
        <v>NO</v>
      </c>
      <c r="K269" s="1" t="n">
        <f aca="false">D269+F269-G269</f>
        <v>6900270.52270378</v>
      </c>
    </row>
    <row r="270" customFormat="false" ht="15" hidden="false" customHeight="true" outlineLevel="0" collapsed="false">
      <c r="A270" s="1" t="s">
        <v>104</v>
      </c>
      <c r="B270" s="1" t="s">
        <v>73</v>
      </c>
      <c r="C270" s="7" t="n">
        <v>45839</v>
      </c>
      <c r="D270" s="6" t="n">
        <f aca="false">I269</f>
        <v>6900270.52270378</v>
      </c>
      <c r="E270" s="1" t="n">
        <v>30</v>
      </c>
      <c r="F270" s="6" t="n">
        <f aca="false">D270*((1+01_Lease_Master!$P$15)^(E270/365)-1)</f>
        <v>50357.4602108512</v>
      </c>
      <c r="G270" s="6" t="n">
        <f aca="false">SUMIFS(02_Payment_Schedule!E:E,02_Payment_Schedule!A:A,A270,02_Payment_Schedule!D:D,C270)</f>
        <v>515000</v>
      </c>
      <c r="H270" s="6" t="n">
        <f aca="false">G270-F270</f>
        <v>464642.539789149</v>
      </c>
      <c r="I270" s="6" t="n">
        <f aca="false">MAX(0,D270+F270-G270)</f>
        <v>6435627.98291463</v>
      </c>
      <c r="J270" s="6" t="str">
        <f aca="false">IF(G270&gt;0,"YES","NO")</f>
        <v>YES</v>
      </c>
      <c r="K270" s="1" t="n">
        <f aca="false">D270+F270-G270</f>
        <v>6435627.98291463</v>
      </c>
    </row>
    <row r="271" customFormat="false" ht="15" hidden="false" customHeight="true" outlineLevel="0" collapsed="false">
      <c r="A271" s="1" t="s">
        <v>104</v>
      </c>
      <c r="B271" s="1" t="s">
        <v>73</v>
      </c>
      <c r="C271" s="7" t="n">
        <v>45870</v>
      </c>
      <c r="D271" s="6" t="n">
        <f aca="false">I270</f>
        <v>6435627.98291463</v>
      </c>
      <c r="E271" s="1" t="n">
        <v>31</v>
      </c>
      <c r="F271" s="6" t="n">
        <f aca="false">D271*((1+01_Lease_Master!$P$15)^(E271/365)-1)</f>
        <v>48537.9878117896</v>
      </c>
      <c r="G271" s="6" t="n">
        <f aca="false">SUMIFS(02_Payment_Schedule!E:E,02_Payment_Schedule!A:A,A271,02_Payment_Schedule!D:D,C271)</f>
        <v>0</v>
      </c>
      <c r="H271" s="6" t="n">
        <f aca="false">G271-F271</f>
        <v>-48537.9878117896</v>
      </c>
      <c r="I271" s="6" t="n">
        <f aca="false">MAX(0,D271+F271-G271)</f>
        <v>6484165.97072642</v>
      </c>
      <c r="J271" s="6" t="str">
        <f aca="false">IF(G271&gt;0,"YES","NO")</f>
        <v>NO</v>
      </c>
      <c r="K271" s="1" t="n">
        <f aca="false">D271+F271-G271</f>
        <v>6484165.97072642</v>
      </c>
    </row>
    <row r="272" customFormat="false" ht="15" hidden="false" customHeight="true" outlineLevel="0" collapsed="false">
      <c r="A272" s="1" t="s">
        <v>104</v>
      </c>
      <c r="B272" s="1" t="s">
        <v>73</v>
      </c>
      <c r="C272" s="7" t="n">
        <v>45901</v>
      </c>
      <c r="D272" s="6" t="n">
        <f aca="false">I271</f>
        <v>6484165.97072642</v>
      </c>
      <c r="E272" s="1" t="n">
        <v>31</v>
      </c>
      <c r="F272" s="6" t="n">
        <f aca="false">D272*((1+01_Lease_Master!$P$15)^(E272/365)-1)</f>
        <v>48904.0649478627</v>
      </c>
      <c r="G272" s="6" t="n">
        <f aca="false">SUMIFS(02_Payment_Schedule!E:E,02_Payment_Schedule!A:A,A272,02_Payment_Schedule!D:D,C272)</f>
        <v>0</v>
      </c>
      <c r="H272" s="6" t="n">
        <f aca="false">G272-F272</f>
        <v>-48904.0649478627</v>
      </c>
      <c r="I272" s="6" t="n">
        <f aca="false">MAX(0,D272+F272-G272)</f>
        <v>6533070.03567429</v>
      </c>
      <c r="J272" s="6" t="str">
        <f aca="false">IF(G272&gt;0,"YES","NO")</f>
        <v>NO</v>
      </c>
      <c r="K272" s="1" t="n">
        <f aca="false">D272+F272-G272</f>
        <v>6533070.03567429</v>
      </c>
    </row>
    <row r="273" customFormat="false" ht="15" hidden="false" customHeight="true" outlineLevel="0" collapsed="false">
      <c r="A273" s="1" t="s">
        <v>104</v>
      </c>
      <c r="B273" s="1" t="s">
        <v>73</v>
      </c>
      <c r="C273" s="7" t="n">
        <v>45931</v>
      </c>
      <c r="D273" s="6" t="n">
        <f aca="false">I272</f>
        <v>6533070.03567429</v>
      </c>
      <c r="E273" s="1" t="n">
        <v>30</v>
      </c>
      <c r="F273" s="6" t="n">
        <f aca="false">D273*((1+01_Lease_Master!$P$15)^(E273/365)-1)</f>
        <v>47677.6690556854</v>
      </c>
      <c r="G273" s="6" t="n">
        <f aca="false">SUMIFS(02_Payment_Schedule!E:E,02_Payment_Schedule!A:A,A273,02_Payment_Schedule!D:D,C273)</f>
        <v>515000</v>
      </c>
      <c r="H273" s="6" t="n">
        <f aca="false">G273-F273</f>
        <v>467322.330944315</v>
      </c>
      <c r="I273" s="6" t="n">
        <f aca="false">MAX(0,D273+F273-G273)</f>
        <v>6065747.70472997</v>
      </c>
      <c r="J273" s="6" t="str">
        <f aca="false">IF(G273&gt;0,"YES","NO")</f>
        <v>YES</v>
      </c>
      <c r="K273" s="1" t="n">
        <f aca="false">D273+F273-G273</f>
        <v>6065747.70472997</v>
      </c>
    </row>
    <row r="274" customFormat="false" ht="15" hidden="false" customHeight="true" outlineLevel="0" collapsed="false">
      <c r="A274" s="1" t="s">
        <v>104</v>
      </c>
      <c r="B274" s="1" t="s">
        <v>73</v>
      </c>
      <c r="C274" s="7" t="n">
        <v>45962</v>
      </c>
      <c r="D274" s="6" t="n">
        <f aca="false">I273</f>
        <v>6065747.70472997</v>
      </c>
      <c r="E274" s="1" t="n">
        <v>31</v>
      </c>
      <c r="F274" s="6" t="n">
        <f aca="false">D274*((1+01_Lease_Master!$P$15)^(E274/365)-1)</f>
        <v>45748.3230763495</v>
      </c>
      <c r="G274" s="6" t="n">
        <f aca="false">SUMIFS(02_Payment_Schedule!E:E,02_Payment_Schedule!A:A,A274,02_Payment_Schedule!D:D,C274)</f>
        <v>0</v>
      </c>
      <c r="H274" s="6" t="n">
        <f aca="false">G274-F274</f>
        <v>-45748.3230763495</v>
      </c>
      <c r="I274" s="6" t="n">
        <f aca="false">MAX(0,D274+F274-G274)</f>
        <v>6111496.02780632</v>
      </c>
      <c r="J274" s="6" t="str">
        <f aca="false">IF(G274&gt;0,"YES","NO")</f>
        <v>NO</v>
      </c>
      <c r="K274" s="1" t="n">
        <f aca="false">D274+F274-G274</f>
        <v>6111496.02780632</v>
      </c>
    </row>
    <row r="275" customFormat="false" ht="15" hidden="false" customHeight="true" outlineLevel="0" collapsed="false">
      <c r="A275" s="1" t="s">
        <v>104</v>
      </c>
      <c r="B275" s="1" t="s">
        <v>73</v>
      </c>
      <c r="C275" s="7" t="n">
        <v>45992</v>
      </c>
      <c r="D275" s="6" t="n">
        <f aca="false">I274</f>
        <v>6111496.02780632</v>
      </c>
      <c r="E275" s="1" t="n">
        <v>30</v>
      </c>
      <c r="F275" s="6" t="n">
        <f aca="false">D275*((1+01_Lease_Master!$P$15)^(E275/365)-1)</f>
        <v>44601.0655722003</v>
      </c>
      <c r="G275" s="6" t="n">
        <f aca="false">SUMIFS(02_Payment_Schedule!E:E,02_Payment_Schedule!A:A,A275,02_Payment_Schedule!D:D,C275)</f>
        <v>0</v>
      </c>
      <c r="H275" s="6" t="n">
        <f aca="false">G275-F275</f>
        <v>-44601.0655722003</v>
      </c>
      <c r="I275" s="6" t="n">
        <f aca="false">MAX(0,D275+F275-G275)</f>
        <v>6156097.09337852</v>
      </c>
      <c r="J275" s="6" t="str">
        <f aca="false">IF(G275&gt;0,"YES","NO")</f>
        <v>NO</v>
      </c>
      <c r="K275" s="1" t="n">
        <f aca="false">D275+F275-G275</f>
        <v>6156097.09337852</v>
      </c>
    </row>
    <row r="276" customFormat="false" ht="15" hidden="false" customHeight="true" outlineLevel="0" collapsed="false">
      <c r="A276" s="1" t="s">
        <v>104</v>
      </c>
      <c r="B276" s="1" t="s">
        <v>73</v>
      </c>
      <c r="C276" s="7" t="n">
        <v>46023</v>
      </c>
      <c r="D276" s="6" t="n">
        <f aca="false">I275</f>
        <v>6156097.09337852</v>
      </c>
      <c r="E276" s="1" t="n">
        <v>31</v>
      </c>
      <c r="F276" s="6" t="n">
        <f aca="false">D276*((1+01_Lease_Master!$P$15)^(E276/365)-1)</f>
        <v>46429.7449261936</v>
      </c>
      <c r="G276" s="6" t="n">
        <f aca="false">SUMIFS(02_Payment_Schedule!E:E,02_Payment_Schedule!A:A,A276,02_Payment_Schedule!D:D,C276)</f>
        <v>515000</v>
      </c>
      <c r="H276" s="6" t="n">
        <f aca="false">G276-F276</f>
        <v>468570.255073806</v>
      </c>
      <c r="I276" s="6" t="n">
        <f aca="false">MAX(0,D276+F276-G276)</f>
        <v>5687526.83830472</v>
      </c>
      <c r="J276" s="6" t="str">
        <f aca="false">IF(G276&gt;0,"YES","NO")</f>
        <v>YES</v>
      </c>
      <c r="K276" s="1" t="n">
        <f aca="false">D276+F276-G276</f>
        <v>5687526.83830472</v>
      </c>
    </row>
    <row r="277" customFormat="false" ht="15" hidden="false" customHeight="true" outlineLevel="0" collapsed="false">
      <c r="A277" s="1" t="s">
        <v>104</v>
      </c>
      <c r="B277" s="1" t="s">
        <v>73</v>
      </c>
      <c r="C277" s="7" t="n">
        <v>46054</v>
      </c>
      <c r="D277" s="6" t="n">
        <f aca="false">I276</f>
        <v>5687526.83830472</v>
      </c>
      <c r="E277" s="1" t="n">
        <v>31</v>
      </c>
      <c r="F277" s="6" t="n">
        <f aca="false">D277*((1+01_Lease_Master!$P$15)^(E277/365)-1)</f>
        <v>42895.75300029</v>
      </c>
      <c r="G277" s="6" t="n">
        <f aca="false">SUMIFS(02_Payment_Schedule!E:E,02_Payment_Schedule!A:A,A277,02_Payment_Schedule!D:D,C277)</f>
        <v>0</v>
      </c>
      <c r="H277" s="6" t="n">
        <f aca="false">G277-F277</f>
        <v>-42895.75300029</v>
      </c>
      <c r="I277" s="6" t="n">
        <f aca="false">MAX(0,D277+F277-G277)</f>
        <v>5730422.59130501</v>
      </c>
      <c r="J277" s="6" t="str">
        <f aca="false">IF(G277&gt;0,"YES","NO")</f>
        <v>NO</v>
      </c>
      <c r="K277" s="1" t="n">
        <f aca="false">D277+F277-G277</f>
        <v>5730422.59130501</v>
      </c>
    </row>
    <row r="278" customFormat="false" ht="15" hidden="false" customHeight="true" outlineLevel="0" collapsed="false">
      <c r="A278" s="1" t="s">
        <v>104</v>
      </c>
      <c r="B278" s="1" t="s">
        <v>73</v>
      </c>
      <c r="C278" s="7" t="n">
        <v>46082</v>
      </c>
      <c r="D278" s="6" t="n">
        <f aca="false">I277</f>
        <v>5730422.59130501</v>
      </c>
      <c r="E278" s="1" t="n">
        <v>28</v>
      </c>
      <c r="F278" s="6" t="n">
        <f aca="false">D278*((1+01_Lease_Master!$P$15)^(E278/365)-1)</f>
        <v>39022.5584846612</v>
      </c>
      <c r="G278" s="6" t="n">
        <f aca="false">SUMIFS(02_Payment_Schedule!E:E,02_Payment_Schedule!A:A,A278,02_Payment_Schedule!D:D,C278)</f>
        <v>0</v>
      </c>
      <c r="H278" s="6" t="n">
        <f aca="false">G278-F278</f>
        <v>-39022.5584846612</v>
      </c>
      <c r="I278" s="6" t="n">
        <f aca="false">MAX(0,D278+F278-G278)</f>
        <v>5769445.14978967</v>
      </c>
      <c r="J278" s="6" t="str">
        <f aca="false">IF(G278&gt;0,"YES","NO")</f>
        <v>NO</v>
      </c>
      <c r="K278" s="1" t="n">
        <f aca="false">D278+F278-G278</f>
        <v>5769445.14978967</v>
      </c>
    </row>
    <row r="279" customFormat="false" ht="15" hidden="false" customHeight="true" outlineLevel="0" collapsed="false">
      <c r="A279" s="1" t="s">
        <v>104</v>
      </c>
      <c r="B279" s="1" t="s">
        <v>73</v>
      </c>
      <c r="C279" s="7" t="n">
        <v>46113</v>
      </c>
      <c r="D279" s="6" t="n">
        <f aca="false">I278</f>
        <v>5769445.14978967</v>
      </c>
      <c r="E279" s="1" t="n">
        <v>31</v>
      </c>
      <c r="F279" s="6" t="n">
        <f aca="false">D279*((1+01_Lease_Master!$P$15)^(E279/365)-1)</f>
        <v>43513.5870352862</v>
      </c>
      <c r="G279" s="6" t="n">
        <f aca="false">SUMIFS(02_Payment_Schedule!E:E,02_Payment_Schedule!A:A,A279,02_Payment_Schedule!D:D,C279)</f>
        <v>530450</v>
      </c>
      <c r="H279" s="6" t="n">
        <f aca="false">G279-F279</f>
        <v>486936.412964714</v>
      </c>
      <c r="I279" s="6" t="n">
        <f aca="false">MAX(0,D279+F279-G279)</f>
        <v>5282508.73682495</v>
      </c>
      <c r="J279" s="6" t="str">
        <f aca="false">IF(G279&gt;0,"YES","NO")</f>
        <v>YES</v>
      </c>
      <c r="K279" s="1" t="n">
        <f aca="false">D279+F279-G279</f>
        <v>5282508.73682495</v>
      </c>
    </row>
    <row r="280" customFormat="false" ht="15" hidden="false" customHeight="true" outlineLevel="0" collapsed="false">
      <c r="A280" s="1" t="s">
        <v>104</v>
      </c>
      <c r="B280" s="1" t="s">
        <v>73</v>
      </c>
      <c r="C280" s="7" t="n">
        <v>46143</v>
      </c>
      <c r="D280" s="6" t="n">
        <f aca="false">I279</f>
        <v>5282508.73682495</v>
      </c>
      <c r="E280" s="1" t="n">
        <v>30</v>
      </c>
      <c r="F280" s="6" t="n">
        <f aca="false">D280*((1+01_Lease_Master!$P$15)^(E280/365)-1)</f>
        <v>38551.2021090881</v>
      </c>
      <c r="G280" s="6" t="n">
        <f aca="false">SUMIFS(02_Payment_Schedule!E:E,02_Payment_Schedule!A:A,A280,02_Payment_Schedule!D:D,C280)</f>
        <v>0</v>
      </c>
      <c r="H280" s="6" t="n">
        <f aca="false">G280-F280</f>
        <v>-38551.2021090881</v>
      </c>
      <c r="I280" s="6" t="n">
        <f aca="false">MAX(0,D280+F280-G280)</f>
        <v>5321059.93893404</v>
      </c>
      <c r="J280" s="6" t="str">
        <f aca="false">IF(G280&gt;0,"YES","NO")</f>
        <v>NO</v>
      </c>
      <c r="K280" s="1" t="n">
        <f aca="false">D280+F280-G280</f>
        <v>5321059.93893404</v>
      </c>
    </row>
    <row r="281" customFormat="false" ht="15" hidden="false" customHeight="true" outlineLevel="0" collapsed="false">
      <c r="A281" s="1" t="s">
        <v>104</v>
      </c>
      <c r="B281" s="1" t="s">
        <v>73</v>
      </c>
      <c r="C281" s="7" t="n">
        <v>46174</v>
      </c>
      <c r="D281" s="6" t="n">
        <f aca="false">I280</f>
        <v>5321059.93893404</v>
      </c>
      <c r="E281" s="1" t="n">
        <v>31</v>
      </c>
      <c r="F281" s="6" t="n">
        <f aca="false">D281*((1+01_Lease_Master!$P$15)^(E281/365)-1)</f>
        <v>40131.832223281</v>
      </c>
      <c r="G281" s="6" t="n">
        <f aca="false">SUMIFS(02_Payment_Schedule!E:E,02_Payment_Schedule!A:A,A281,02_Payment_Schedule!D:D,C281)</f>
        <v>0</v>
      </c>
      <c r="H281" s="6" t="n">
        <f aca="false">G281-F281</f>
        <v>-40131.832223281</v>
      </c>
      <c r="I281" s="6" t="n">
        <f aca="false">MAX(0,D281+F281-G281)</f>
        <v>5361191.77115732</v>
      </c>
      <c r="J281" s="6" t="str">
        <f aca="false">IF(G281&gt;0,"YES","NO")</f>
        <v>NO</v>
      </c>
      <c r="K281" s="1" t="n">
        <f aca="false">D281+F281-G281</f>
        <v>5361191.77115732</v>
      </c>
    </row>
    <row r="282" customFormat="false" ht="15" hidden="false" customHeight="true" outlineLevel="0" collapsed="false">
      <c r="A282" s="1" t="s">
        <v>104</v>
      </c>
      <c r="B282" s="1" t="s">
        <v>73</v>
      </c>
      <c r="C282" s="7" t="n">
        <v>46204</v>
      </c>
      <c r="D282" s="6" t="n">
        <f aca="false">I281</f>
        <v>5361191.77115732</v>
      </c>
      <c r="E282" s="1" t="n">
        <v>30</v>
      </c>
      <c r="F282" s="6" t="n">
        <f aca="false">D282*((1+01_Lease_Master!$P$15)^(E282/365)-1)</f>
        <v>39125.4227512534</v>
      </c>
      <c r="G282" s="6" t="n">
        <f aca="false">SUMIFS(02_Payment_Schedule!E:E,02_Payment_Schedule!A:A,A282,02_Payment_Schedule!D:D,C282)</f>
        <v>530450</v>
      </c>
      <c r="H282" s="6" t="n">
        <f aca="false">G282-F282</f>
        <v>491324.577248747</v>
      </c>
      <c r="I282" s="6" t="n">
        <f aca="false">MAX(0,D282+F282-G282)</f>
        <v>4869867.19390858</v>
      </c>
      <c r="J282" s="6" t="str">
        <f aca="false">IF(G282&gt;0,"YES","NO")</f>
        <v>YES</v>
      </c>
      <c r="K282" s="1" t="n">
        <f aca="false">D282+F282-G282</f>
        <v>4869867.19390858</v>
      </c>
    </row>
    <row r="283" customFormat="false" ht="15" hidden="false" customHeight="true" outlineLevel="0" collapsed="false">
      <c r="A283" s="1" t="s">
        <v>104</v>
      </c>
      <c r="B283" s="1" t="s">
        <v>73</v>
      </c>
      <c r="C283" s="7" t="n">
        <v>46235</v>
      </c>
      <c r="D283" s="6" t="n">
        <f aca="false">I282</f>
        <v>4869867.19390858</v>
      </c>
      <c r="E283" s="1" t="n">
        <v>31</v>
      </c>
      <c r="F283" s="6" t="n">
        <f aca="false">D283*((1+01_Lease_Master!$P$15)^(E283/365)-1)</f>
        <v>36728.9027784849</v>
      </c>
      <c r="G283" s="6" t="n">
        <f aca="false">SUMIFS(02_Payment_Schedule!E:E,02_Payment_Schedule!A:A,A283,02_Payment_Schedule!D:D,C283)</f>
        <v>0</v>
      </c>
      <c r="H283" s="6" t="n">
        <f aca="false">G283-F283</f>
        <v>-36728.9027784849</v>
      </c>
      <c r="I283" s="6" t="n">
        <f aca="false">MAX(0,D283+F283-G283)</f>
        <v>4906596.09668706</v>
      </c>
      <c r="J283" s="6" t="str">
        <f aca="false">IF(G283&gt;0,"YES","NO")</f>
        <v>NO</v>
      </c>
      <c r="K283" s="1" t="n">
        <f aca="false">D283+F283-G283</f>
        <v>4906596.09668706</v>
      </c>
    </row>
    <row r="284" customFormat="false" ht="15" hidden="false" customHeight="true" outlineLevel="0" collapsed="false">
      <c r="A284" s="1" t="s">
        <v>104</v>
      </c>
      <c r="B284" s="1" t="s">
        <v>73</v>
      </c>
      <c r="C284" s="7" t="n">
        <v>46266</v>
      </c>
      <c r="D284" s="6" t="n">
        <f aca="false">I283</f>
        <v>4906596.09668706</v>
      </c>
      <c r="E284" s="1" t="n">
        <v>31</v>
      </c>
      <c r="F284" s="6" t="n">
        <f aca="false">D284*((1+01_Lease_Master!$P$15)^(E284/365)-1)</f>
        <v>37005.9149115876</v>
      </c>
      <c r="G284" s="6" t="n">
        <f aca="false">SUMIFS(02_Payment_Schedule!E:E,02_Payment_Schedule!A:A,A284,02_Payment_Schedule!D:D,C284)</f>
        <v>0</v>
      </c>
      <c r="H284" s="6" t="n">
        <f aca="false">G284-F284</f>
        <v>-37005.9149115876</v>
      </c>
      <c r="I284" s="6" t="n">
        <f aca="false">MAX(0,D284+F284-G284)</f>
        <v>4943602.01159865</v>
      </c>
      <c r="J284" s="6" t="str">
        <f aca="false">IF(G284&gt;0,"YES","NO")</f>
        <v>NO</v>
      </c>
      <c r="K284" s="1" t="n">
        <f aca="false">D284+F284-G284</f>
        <v>4943602.01159865</v>
      </c>
    </row>
    <row r="285" customFormat="false" ht="15" hidden="false" customHeight="true" outlineLevel="0" collapsed="false">
      <c r="A285" s="1" t="s">
        <v>104</v>
      </c>
      <c r="B285" s="1" t="s">
        <v>73</v>
      </c>
      <c r="C285" s="7" t="n">
        <v>46271</v>
      </c>
      <c r="D285" s="6" t="n">
        <f aca="false">I284</f>
        <v>4943602.01159865</v>
      </c>
      <c r="E285" s="1" t="n">
        <v>5</v>
      </c>
      <c r="F285" s="6" t="n">
        <f aca="false">D285*((1+01_Lease_Master!$P$15)^(E285/365)-1)</f>
        <v>5994.77955637262</v>
      </c>
      <c r="G285" s="6" t="n">
        <f aca="false">SUMIFS(02_Payment_Schedule!E:E,02_Payment_Schedule!A:A,A285,02_Payment_Schedule!D:D,C285)</f>
        <v>0</v>
      </c>
      <c r="H285" s="6" t="n">
        <f aca="false">G285-F285</f>
        <v>-5994.77955637262</v>
      </c>
      <c r="I285" s="6" t="n">
        <f aca="false">MAX(0,D285+F285-G285)</f>
        <v>4949596.79115502</v>
      </c>
      <c r="J285" s="6" t="str">
        <f aca="false">IF(G285&gt;0,"YES","NO")</f>
        <v>NO</v>
      </c>
      <c r="K285" s="1" t="n">
        <f aca="false">D285+F285-G285</f>
        <v>4949596.79115502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2026-09-06T10:28:19Z</dcterms:created>
  <dc:creator>openpyxl</dc:creator>
  <dc:description/>
  <dc:language>en-US</dc:language>
  <cp:lastModifiedBy/>
  <dcterms:modified xsi:type="dcterms:W3CDTF">2026-09-07T23:08:25Z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